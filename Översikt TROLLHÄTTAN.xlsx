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46217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s="2" t="inlineStr">
        <is>
          <t>Ask
Ryl
Spindelblomster
Mattlummer
Grönvit nattviol
Lopplummer (aggregat)
Revlummer</t>
        </is>
      </c>
      <c r="V2">
        <f>HYPERLINK("https://klasma.github.io/Logging_1488/artfynd/A 68519-2021 artfynd.xlsx", "A 68519-2021")</f>
        <v/>
      </c>
      <c r="W2">
        <f>HYPERLINK("https://klasma.github.io/Logging_1488/kartor/A 68519-2021 karta.png", "A 68519-2021")</f>
        <v/>
      </c>
      <c r="Y2">
        <f>HYPERLINK("https://klasma.github.io/Logging_1488/klagomål/A 68519-2021 FSC-klagomål.docx", "A 68519-2021")</f>
        <v/>
      </c>
      <c r="Z2">
        <f>HYPERLINK("https://klasma.github.io/Logging_1488/klagomålsmail/A 68519-2021 FSC-klagomål mail.docx", "A 68519-2021")</f>
        <v/>
      </c>
      <c r="AA2">
        <f>HYPERLINK("https://klasma.github.io/Logging_1488/tillsyn/A 68519-2021 tillsynsbegäran.docx", "A 68519-2021")</f>
        <v/>
      </c>
      <c r="AB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46217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Tjäder
Havsörn
Trana</t>
        </is>
      </c>
      <c r="V3">
        <f>HYPERLINK("https://klasma.github.io/Logging_1488/artfynd/A 5767-2023 artfynd.xlsx", "A 5767-2023")</f>
        <v/>
      </c>
      <c r="W3">
        <f>HYPERLINK("https://klasma.github.io/Logging_1488/kartor/A 5767-2023 karta.png", "A 5767-2023")</f>
        <v/>
      </c>
      <c r="Y3">
        <f>HYPERLINK("https://klasma.github.io/Logging_1488/klagomål/A 5767-2023 FSC-klagomål.docx", "A 5767-2023")</f>
        <v/>
      </c>
      <c r="Z3">
        <f>HYPERLINK("https://klasma.github.io/Logging_1488/klagomålsmail/A 5767-2023 FSC-klagomål mail.docx", "A 5767-2023")</f>
        <v/>
      </c>
      <c r="AA3">
        <f>HYPERLINK("https://klasma.github.io/Logging_1488/tillsyn/A 5767-2023 tillsynsbegäran.docx", "A 5767-2023")</f>
        <v/>
      </c>
      <c r="AB3">
        <f>HYPERLINK("https://klasma.github.io/Logging_1488/tillsynsmail/A 5767-2023 tillsynsbegäran mail.docx", "A 5767-2023")</f>
        <v/>
      </c>
      <c r="AC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46217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Grönvit nattviol
Revlummer</t>
        </is>
      </c>
      <c r="V4">
        <f>HYPERLINK("https://klasma.github.io/Logging_1488/artfynd/A 15068-2026 artfynd.xlsx", "A 15068-2026")</f>
        <v/>
      </c>
      <c r="W4">
        <f>HYPERLINK("https://klasma.github.io/Logging_1488/kartor/A 15068-2026 karta.png", "A 15068-2026")</f>
        <v/>
      </c>
      <c r="Y4">
        <f>HYPERLINK("https://klasma.github.io/Logging_1488/klagomål/A 15068-2026 FSC-klagomål.docx", "A 15068-2026")</f>
        <v/>
      </c>
      <c r="Z4">
        <f>HYPERLINK("https://klasma.github.io/Logging_1488/klagomålsmail/A 15068-2026 FSC-klagomål mail.docx", "A 15068-2026")</f>
        <v/>
      </c>
      <c r="AA4">
        <f>HYPERLINK("https://klasma.github.io/Logging_1488/tillsyn/A 15068-2026 tillsynsbegäran.docx", "A 15068-2026")</f>
        <v/>
      </c>
      <c r="AB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46217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Kortskaftad parasitspik
Rostfläck</t>
        </is>
      </c>
      <c r="V5">
        <f>HYPERLINK("https://klasma.github.io/Logging_1488/artfynd/A 15069-2026 artfynd.xlsx", "A 15069-2026")</f>
        <v/>
      </c>
      <c r="W5">
        <f>HYPERLINK("https://klasma.github.io/Logging_1488/kartor/A 15069-2026 karta.png", "A 15069-2026")</f>
        <v/>
      </c>
      <c r="Y5">
        <f>HYPERLINK("https://klasma.github.io/Logging_1488/klagomål/A 15069-2026 FSC-klagomål.docx", "A 15069-2026")</f>
        <v/>
      </c>
      <c r="Z5">
        <f>HYPERLINK("https://klasma.github.io/Logging_1488/klagomålsmail/A 15069-2026 FSC-klagomål mail.docx", "A 15069-2026")</f>
        <v/>
      </c>
      <c r="AA5">
        <f>HYPERLINK("https://klasma.github.io/Logging_1488/tillsyn/A 15069-2026 tillsynsbegäran.docx", "A 15069-2026")</f>
        <v/>
      </c>
      <c r="AB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46217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Svinrot
Blåsippa</t>
        </is>
      </c>
      <c r="V6">
        <f>HYPERLINK("https://klasma.github.io/Logging_1488/artfynd/A 13131-2024 artfynd.xlsx", "A 13131-2024")</f>
        <v/>
      </c>
      <c r="W6">
        <f>HYPERLINK("https://klasma.github.io/Logging_1488/kartor/A 13131-2024 karta.png", "A 13131-2024")</f>
        <v/>
      </c>
      <c r="Y6">
        <f>HYPERLINK("https://klasma.github.io/Logging_1488/klagomål/A 13131-2024 FSC-klagomål.docx", "A 13131-2024")</f>
        <v/>
      </c>
      <c r="Z6">
        <f>HYPERLINK("https://klasma.github.io/Logging_1488/klagomålsmail/A 13131-2024 FSC-klagomål mail.docx", "A 13131-2024")</f>
        <v/>
      </c>
      <c r="AA6">
        <f>HYPERLINK("https://klasma.github.io/Logging_1488/tillsyn/A 13131-2024 tillsynsbegäran.docx", "A 13131-2024")</f>
        <v/>
      </c>
      <c r="AB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46217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Knärot</t>
        </is>
      </c>
      <c r="V7">
        <f>HYPERLINK("https://klasma.github.io/Logging_1488/artfynd/A 18264-2022 artfynd.xlsx", "A 18264-2022")</f>
        <v/>
      </c>
      <c r="W7">
        <f>HYPERLINK("https://klasma.github.io/Logging_1488/kartor/A 18264-2022 karta.png", "A 18264-2022")</f>
        <v/>
      </c>
      <c r="X7">
        <f>HYPERLINK("https://klasma.github.io/Logging_1488/knärot/A 18264-2022 karta knärot.png", "A 18264-2022")</f>
        <v/>
      </c>
      <c r="Y7">
        <f>HYPERLINK("https://klasma.github.io/Logging_1488/klagomål/A 18264-2022 FSC-klagomål.docx", "A 18264-2022")</f>
        <v/>
      </c>
      <c r="Z7">
        <f>HYPERLINK("https://klasma.github.io/Logging_1488/klagomålsmail/A 18264-2022 FSC-klagomål mail.docx", "A 18264-2022")</f>
        <v/>
      </c>
      <c r="AA7">
        <f>HYPERLINK("https://klasma.github.io/Logging_1488/tillsyn/A 18264-2022 tillsynsbegäran.docx", "A 18264-2022")</f>
        <v/>
      </c>
      <c r="AB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46217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HYPERLINK("https://klasma.github.io/Logging_1488/artfynd/A 23175-2023 artfynd.xlsx", "A 23175-2023")</f>
        <v/>
      </c>
      <c r="W8">
        <f>HYPERLINK("https://klasma.github.io/Logging_1488/kartor/A 23175-2023 karta.png", "A 23175-2023")</f>
        <v/>
      </c>
      <c r="Y8">
        <f>HYPERLINK("https://klasma.github.io/Logging_1488/klagomål/A 23175-2023 FSC-klagomål.docx", "A 23175-2023")</f>
        <v/>
      </c>
      <c r="Z8">
        <f>HYPERLINK("https://klasma.github.io/Logging_1488/klagomålsmail/A 23175-2023 FSC-klagomål mail.docx", "A 23175-2023")</f>
        <v/>
      </c>
      <c r="AA8">
        <f>HYPERLINK("https://klasma.github.io/Logging_1488/tillsyn/A 23175-2023 tillsynsbegäran.docx", "A 23175-2023")</f>
        <v/>
      </c>
      <c r="AB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46217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Rostfläck</t>
        </is>
      </c>
      <c r="V9">
        <f>HYPERLINK("https://klasma.github.io/Logging_1488/artfynd/A 2460-2022 artfynd.xlsx", "A 2460-2022")</f>
        <v/>
      </c>
      <c r="W9">
        <f>HYPERLINK("https://klasma.github.io/Logging_1488/kartor/A 2460-2022 karta.png", "A 2460-2022")</f>
        <v/>
      </c>
      <c r="Y9">
        <f>HYPERLINK("https://klasma.github.io/Logging_1488/klagomål/A 2460-2022 FSC-klagomål.docx", "A 2460-2022")</f>
        <v/>
      </c>
      <c r="Z9">
        <f>HYPERLINK("https://klasma.github.io/Logging_1488/klagomålsmail/A 2460-2022 FSC-klagomål mail.docx", "A 2460-2022")</f>
        <v/>
      </c>
      <c r="AA9">
        <f>HYPERLINK("https://klasma.github.io/Logging_1488/tillsyn/A 2460-2022 tillsynsbegäran.docx", "A 2460-2022")</f>
        <v/>
      </c>
      <c r="AB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46217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46217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46217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46217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46217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46217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46217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46217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46217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46217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46217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46217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46217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46217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46217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46217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46217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46217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46217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46217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46217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46217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46217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46217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46217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46217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46217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46217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46217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46217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36982-2024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46217</v>
      </c>
      <c r="F40" t="inlineStr">
        <is>
          <t>VÄSTRA GÖTALANDS LÄN</t>
        </is>
      </c>
      <c r="G40" t="inlineStr">
        <is>
          <t>TROLLHÄTTAN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46217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46217</v>
      </c>
      <c r="F42" t="inlineStr">
        <is>
          <t>VÄSTRA GÖTALANDS LÄN</t>
        </is>
      </c>
      <c r="G42" t="inlineStr">
        <is>
          <t>TROLLHÄTTAN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11991-2022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46217</v>
      </c>
      <c r="F43" t="inlineStr">
        <is>
          <t>VÄSTRA GÖTALANDS LÄN</t>
        </is>
      </c>
      <c r="G43" t="inlineStr">
        <is>
          <t>TROLLHÄTTAN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44946</v>
      </c>
      <c r="E44" s="1" t="n">
        <v>46217</v>
      </c>
      <c r="F44" t="inlineStr">
        <is>
          <t>VÄSTRA GÖTALANDS LÄN</t>
        </is>
      </c>
      <c r="G44" t="inlineStr">
        <is>
          <t>TROLLHÄTTAN</t>
        </is>
      </c>
      <c r="I44" t="n">
        <v>6.1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13119-2023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46217</v>
      </c>
      <c r="F45" t="inlineStr">
        <is>
          <t>VÄSTRA GÖTALANDS LÄN</t>
        </is>
      </c>
      <c r="G45" t="inlineStr">
        <is>
          <t>TROLLHÄTTAN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17126-2022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44677</v>
      </c>
      <c r="E46" s="1" t="n">
        <v>46217</v>
      </c>
      <c r="F46" t="inlineStr">
        <is>
          <t>VÄSTRA GÖTALANDS LÄN</t>
        </is>
      </c>
      <c r="G46" t="inlineStr">
        <is>
          <t>TROLLHÄTTAN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46217</v>
      </c>
      <c r="F47" t="inlineStr">
        <is>
          <t>VÄSTRA GÖTALANDS LÄN</t>
        </is>
      </c>
      <c r="G47" t="inlineStr">
        <is>
          <t>TROLLHÄTTAN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46533-2024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46217</v>
      </c>
      <c r="F48" t="inlineStr">
        <is>
          <t>VÄSTRA GÖTALANDS LÄN</t>
        </is>
      </c>
      <c r="G48" t="inlineStr">
        <is>
          <t>TROLLHÄTTAN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46217</v>
      </c>
      <c r="F49" t="inlineStr">
        <is>
          <t>VÄSTRA GÖTALANDS LÄN</t>
        </is>
      </c>
      <c r="G49" t="inlineStr">
        <is>
          <t>TROLLHÄTTAN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46217</v>
      </c>
      <c r="F50" t="inlineStr">
        <is>
          <t>VÄSTRA GÖTALANDS LÄN</t>
        </is>
      </c>
      <c r="G50" t="inlineStr">
        <is>
          <t>TROLLHÄTTAN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34909-2023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45141</v>
      </c>
      <c r="E51" s="1" t="n">
        <v>46217</v>
      </c>
      <c r="F51" t="inlineStr">
        <is>
          <t>VÄSTRA GÖTALANDS LÄN</t>
        </is>
      </c>
      <c r="G51" t="inlineStr">
        <is>
          <t>TROLLHÄTTAN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62299-2022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46217</v>
      </c>
      <c r="F52" t="inlineStr">
        <is>
          <t>VÄSTRA GÖTALANDS LÄN</t>
        </is>
      </c>
      <c r="G52" t="inlineStr">
        <is>
          <t>TROLLHÄTTAN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49781-2024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46217</v>
      </c>
      <c r="F53" t="inlineStr">
        <is>
          <t>VÄSTRA GÖTALANDS LÄN</t>
        </is>
      </c>
      <c r="G53" t="inlineStr">
        <is>
          <t>TROLLHÄTTAN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55033-2023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45237</v>
      </c>
      <c r="E54" s="1" t="n">
        <v>46217</v>
      </c>
      <c r="F54" t="inlineStr">
        <is>
          <t>VÄSTRA GÖTALANDS LÄN</t>
        </is>
      </c>
      <c r="G54" t="inlineStr">
        <is>
          <t>TROLLHÄTTAN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6354-2025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46217</v>
      </c>
      <c r="F55" t="inlineStr">
        <is>
          <t>VÄSTRA GÖTALANDS LÄN</t>
        </is>
      </c>
      <c r="G55" t="inlineStr">
        <is>
          <t>TROLLHÄTTAN</t>
        </is>
      </c>
      <c r="I55" t="n">
        <v>19.3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21363-2023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45063</v>
      </c>
      <c r="E56" s="1" t="n">
        <v>46217</v>
      </c>
      <c r="F56" t="inlineStr">
        <is>
          <t>VÄSTRA GÖTALANDS LÄN</t>
        </is>
      </c>
      <c r="G56" t="inlineStr">
        <is>
          <t>TROLLHÄTTAN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44825</v>
      </c>
      <c r="E57" s="1" t="n">
        <v>46217</v>
      </c>
      <c r="F57" t="inlineStr">
        <is>
          <t>VÄSTRA GÖTALANDS LÄN</t>
        </is>
      </c>
      <c r="G57" t="inlineStr">
        <is>
          <t>TROLLHÄTTAN</t>
        </is>
      </c>
      <c r="I57" t="n">
        <v>11.3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45748</v>
      </c>
      <c r="E58" s="1" t="n">
        <v>46217</v>
      </c>
      <c r="F58" t="inlineStr">
        <is>
          <t>VÄSTRA GÖTALANDS LÄN</t>
        </is>
      </c>
      <c r="G58" t="inlineStr">
        <is>
          <t>TROLLHÄTTAN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15000-2023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45015</v>
      </c>
      <c r="E59" s="1" t="n">
        <v>46217</v>
      </c>
      <c r="F59" t="inlineStr">
        <is>
          <t>VÄSTRA GÖTALANDS LÄN</t>
        </is>
      </c>
      <c r="G59" t="inlineStr">
        <is>
          <t>TROLLHÄTTAN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65254-2021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46217</v>
      </c>
      <c r="F60" t="inlineStr">
        <is>
          <t>VÄSTRA GÖTALANDS LÄN</t>
        </is>
      </c>
      <c r="G60" t="inlineStr">
        <is>
          <t>TROLLHÄTTAN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46364-2024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45582</v>
      </c>
      <c r="E61" s="1" t="n">
        <v>46217</v>
      </c>
      <c r="F61" t="inlineStr">
        <is>
          <t>VÄSTRA GÖTALANDS LÄN</t>
        </is>
      </c>
      <c r="G61" t="inlineStr">
        <is>
          <t>TROLLHÄTTAN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46217</v>
      </c>
      <c r="F62" t="inlineStr">
        <is>
          <t>VÄSTRA GÖTALANDS LÄN</t>
        </is>
      </c>
      <c r="G62" t="inlineStr">
        <is>
          <t>TROLLHÄTTAN</t>
        </is>
      </c>
      <c r="I62" t="n">
        <v>15.4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15648-2025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46217</v>
      </c>
      <c r="F63" t="inlineStr">
        <is>
          <t>VÄSTRA GÖTALANDS LÄN</t>
        </is>
      </c>
      <c r="G63" t="inlineStr">
        <is>
          <t>TROLLHÄTTAN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20009-2026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46217</v>
      </c>
      <c r="F64" t="inlineStr">
        <is>
          <t>VÄSTRA GÖTALANDS LÄN</t>
        </is>
      </c>
      <c r="G64" t="inlineStr">
        <is>
          <t>TROLLHÄTTAN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21979-2025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45784</v>
      </c>
      <c r="E65" s="1" t="n">
        <v>46217</v>
      </c>
      <c r="F65" t="inlineStr">
        <is>
          <t>VÄSTRA GÖTALANDS LÄN</t>
        </is>
      </c>
      <c r="G65" t="inlineStr">
        <is>
          <t>TROLLHÄTTAN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24127-2024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46217</v>
      </c>
      <c r="F66" t="inlineStr">
        <is>
          <t>VÄSTRA GÖTALANDS LÄN</t>
        </is>
      </c>
      <c r="G66" t="inlineStr">
        <is>
          <t>TROLLHÄTTAN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23451-2023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45076</v>
      </c>
      <c r="E67" s="1" t="n">
        <v>46217</v>
      </c>
      <c r="F67" t="inlineStr">
        <is>
          <t>VÄSTRA GÖTALANDS LÄN</t>
        </is>
      </c>
      <c r="G67" t="inlineStr">
        <is>
          <t>TROLLHÄTTAN</t>
        </is>
      </c>
      <c r="H67" t="inlineStr">
        <is>
          <t>Kommuner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46217</v>
      </c>
      <c r="F68" t="inlineStr">
        <is>
          <t>VÄSTRA GÖTALANDS LÄN</t>
        </is>
      </c>
      <c r="G68" t="inlineStr">
        <is>
          <t>TROLLHÄTTAN</t>
        </is>
      </c>
      <c r="H68" t="inlineStr">
        <is>
          <t>Kommuner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45685</v>
      </c>
      <c r="E69" s="1" t="n">
        <v>46217</v>
      </c>
      <c r="F69" t="inlineStr">
        <is>
          <t>VÄSTRA GÖTALANDS LÄN</t>
        </is>
      </c>
      <c r="G69" t="inlineStr">
        <is>
          <t>TROLLHÄTTAN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45560</v>
      </c>
      <c r="E70" s="1" t="n">
        <v>46217</v>
      </c>
      <c r="F70" t="inlineStr">
        <is>
          <t>VÄSTRA GÖTALANDS LÄN</t>
        </is>
      </c>
      <c r="G70" t="inlineStr">
        <is>
          <t>TROLLHÄTTAN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61046-2024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46217</v>
      </c>
      <c r="F71" t="inlineStr">
        <is>
          <t>VÄSTRA GÖTALANDS LÄN</t>
        </is>
      </c>
      <c r="G71" t="inlineStr">
        <is>
          <t>TROLLHÄTTAN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46217</v>
      </c>
      <c r="F72" t="inlineStr">
        <is>
          <t>VÄSTRA GÖTALANDS LÄN</t>
        </is>
      </c>
      <c r="G72" t="inlineStr">
        <is>
          <t>TROLLHÄTTAN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30773-2024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45496</v>
      </c>
      <c r="E73" s="1" t="n">
        <v>46217</v>
      </c>
      <c r="F73" t="inlineStr">
        <is>
          <t>VÄSTRA GÖTALANDS LÄN</t>
        </is>
      </c>
      <c r="G73" t="inlineStr">
        <is>
          <t>TROLLHÄTTAN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61443-2022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46217</v>
      </c>
      <c r="F74" t="inlineStr">
        <is>
          <t>VÄSTRA GÖTALANDS LÄN</t>
        </is>
      </c>
      <c r="G74" t="inlineStr">
        <is>
          <t>TROLLHÄTTAN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47708-2025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45931</v>
      </c>
      <c r="E75" s="1" t="n">
        <v>46217</v>
      </c>
      <c r="F75" t="inlineStr">
        <is>
          <t>VÄSTRA GÖTALANDS LÄN</t>
        </is>
      </c>
      <c r="G75" t="inlineStr">
        <is>
          <t>TROLLHÄTTAN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48790-2025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46217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48791-2025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46217</v>
      </c>
      <c r="F77" t="inlineStr">
        <is>
          <t>VÄSTRA GÖTALANDS LÄN</t>
        </is>
      </c>
      <c r="G77" t="inlineStr">
        <is>
          <t>TROLLHÄTTAN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48787-2025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46217</v>
      </c>
      <c r="F78" t="inlineStr">
        <is>
          <t>VÄSTRA GÖTALANDS LÄN</t>
        </is>
      </c>
      <c r="G78" t="inlineStr">
        <is>
          <t>TROLLHÄTTAN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46217</v>
      </c>
      <c r="F79" t="inlineStr">
        <is>
          <t>VÄSTRA GÖTALANDS LÄN</t>
        </is>
      </c>
      <c r="G79" t="inlineStr">
        <is>
          <t>TROLLHÄTTAN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46217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39611-2022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46217</v>
      </c>
      <c r="F81" t="inlineStr">
        <is>
          <t>VÄSTRA GÖTALANDS LÄN</t>
        </is>
      </c>
      <c r="G81" t="inlineStr">
        <is>
          <t>TROLLHÄTTAN</t>
        </is>
      </c>
      <c r="H81" t="inlineStr">
        <is>
          <t>Kommuner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29300-2024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46217</v>
      </c>
      <c r="F82" t="inlineStr">
        <is>
          <t>VÄSTRA GÖTALANDS LÄN</t>
        </is>
      </c>
      <c r="G82" t="inlineStr">
        <is>
          <t>TROLLHÄTTAN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43374-2021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46217</v>
      </c>
      <c r="F83" t="inlineStr">
        <is>
          <t>VÄSTRA GÖTALANDS LÄN</t>
        </is>
      </c>
      <c r="G83" t="inlineStr">
        <is>
          <t>TROLLHÄTTAN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50337-2025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46217</v>
      </c>
      <c r="F84" t="inlineStr">
        <is>
          <t>VÄSTRA GÖTALANDS LÄN</t>
        </is>
      </c>
      <c r="G84" t="inlineStr">
        <is>
          <t>TROLLHÄTTAN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50209-2025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46217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46217</v>
      </c>
      <c r="F86" t="inlineStr">
        <is>
          <t>VÄSTRA GÖTALANDS LÄN</t>
        </is>
      </c>
      <c r="G86" t="inlineStr">
        <is>
          <t>TROLLHÄTTAN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53426-2022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46217</v>
      </c>
      <c r="F87" t="inlineStr">
        <is>
          <t>VÄSTRA GÖTALANDS LÄN</t>
        </is>
      </c>
      <c r="G87" t="inlineStr">
        <is>
          <t>TROLLHÄTTAN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62266-2022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46217</v>
      </c>
      <c r="F88" t="inlineStr">
        <is>
          <t>VÄSTRA GÖTALANDS LÄN</t>
        </is>
      </c>
      <c r="G88" t="inlineStr">
        <is>
          <t>TROLLHÄTTAN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39116-2022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46217</v>
      </c>
      <c r="F89" t="inlineStr">
        <is>
          <t>VÄSTRA GÖTALANDS LÄN</t>
        </is>
      </c>
      <c r="G89" t="inlineStr">
        <is>
          <t>TROLLHÄTTAN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57918-2022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46217</v>
      </c>
      <c r="F90" t="inlineStr">
        <is>
          <t>VÄSTRA GÖTALANDS LÄN</t>
        </is>
      </c>
      <c r="G90" t="inlineStr">
        <is>
          <t>TROLLHÄTTAN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41893-2022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46217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Kommuner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20500-2026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46217</v>
      </c>
      <c r="F92" t="inlineStr">
        <is>
          <t>VÄSTRA GÖTALANDS LÄN</t>
        </is>
      </c>
      <c r="G92" t="inlineStr">
        <is>
          <t>TROLLHÄTTAN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20501-2026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46217</v>
      </c>
      <c r="F93" t="inlineStr">
        <is>
          <t>VÄSTRA GÖTALANDS LÄN</t>
        </is>
      </c>
      <c r="G93" t="inlineStr">
        <is>
          <t>TROLLHÄTTAN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53227-2021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46217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18612-2025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46217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20152-2026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46138</v>
      </c>
      <c r="E96" s="1" t="n">
        <v>46217</v>
      </c>
      <c r="F96" t="inlineStr">
        <is>
          <t>VÄSTRA GÖTALANDS LÄN</t>
        </is>
      </c>
      <c r="G96" t="inlineStr">
        <is>
          <t>TROLLHÄTTAN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7730-2023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44973</v>
      </c>
      <c r="E97" s="1" t="n">
        <v>46217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46217</v>
      </c>
      <c r="F98" t="inlineStr">
        <is>
          <t>VÄSTRA GÖTALANDS LÄN</t>
        </is>
      </c>
      <c r="G98" t="inlineStr">
        <is>
          <t>TROLLHÄTTAN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56523-2025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46217</v>
      </c>
      <c r="F99" t="inlineStr">
        <is>
          <t>VÄSTRA GÖTALANDS LÄN</t>
        </is>
      </c>
      <c r="G99" t="inlineStr">
        <is>
          <t>TROLLHÄTTAN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46217</v>
      </c>
      <c r="F100" t="inlineStr">
        <is>
          <t>VÄSTRA GÖTALANDS LÄN</t>
        </is>
      </c>
      <c r="G100" t="inlineStr">
        <is>
          <t>TROLLHÄTTAN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46217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57890-2025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46217</v>
      </c>
      <c r="F102" t="inlineStr">
        <is>
          <t>VÄSTRA GÖTALANDS LÄN</t>
        </is>
      </c>
      <c r="G102" t="inlineStr">
        <is>
          <t>TROLLHÄTTAN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57886-2025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45981</v>
      </c>
      <c r="E103" s="1" t="n">
        <v>46217</v>
      </c>
      <c r="F103" t="inlineStr">
        <is>
          <t>VÄSTRA GÖTALANDS LÄN</t>
        </is>
      </c>
      <c r="G103" t="inlineStr">
        <is>
          <t>TROLLHÄTTAN</t>
        </is>
      </c>
      <c r="I103" t="n">
        <v>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57891-2025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46217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20667-2026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46217</v>
      </c>
      <c r="F105" t="inlineStr">
        <is>
          <t>VÄSTRA GÖTALANDS LÄN</t>
        </is>
      </c>
      <c r="G105" t="inlineStr">
        <is>
          <t>TROLLHÄTTAN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68454-2021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46217</v>
      </c>
      <c r="F106" t="inlineStr">
        <is>
          <t>VÄSTRA GÖTALANDS LÄN</t>
        </is>
      </c>
      <c r="G106" t="inlineStr">
        <is>
          <t>TROLLHÄTTAN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27441-2026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46189</v>
      </c>
      <c r="E107" s="1" t="n">
        <v>46217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27586-2026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46190</v>
      </c>
      <c r="E108" s="1" t="n">
        <v>46217</v>
      </c>
      <c r="F108" t="inlineStr">
        <is>
          <t>VÄSTRA GÖTALANDS LÄN</t>
        </is>
      </c>
      <c r="G108" t="inlineStr">
        <is>
          <t>TROLLHÄTTAN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21929-2026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46217</v>
      </c>
      <c r="F109" t="inlineStr">
        <is>
          <t>VÄSTRA GÖTALANDS LÄN</t>
        </is>
      </c>
      <c r="G109" t="inlineStr">
        <is>
          <t>TROLLHÄTTAN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59252-2025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45988</v>
      </c>
      <c r="E110" s="1" t="n">
        <v>46217</v>
      </c>
      <c r="F110" t="inlineStr">
        <is>
          <t>VÄSTRA GÖTALANDS LÄN</t>
        </is>
      </c>
      <c r="G110" t="inlineStr">
        <is>
          <t>TROLLHÄTTAN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7781-2023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44973</v>
      </c>
      <c r="E111" s="1" t="n">
        <v>46217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73158-2021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46217</v>
      </c>
      <c r="F112" t="inlineStr">
        <is>
          <t>VÄSTRA GÖTALANDS LÄN</t>
        </is>
      </c>
      <c r="G112" t="inlineStr">
        <is>
          <t>TROLLHÄTTAN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60505-2025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45995</v>
      </c>
      <c r="E113" s="1" t="n">
        <v>46217</v>
      </c>
      <c r="F113" t="inlineStr">
        <is>
          <t>VÄSTRA GÖTALANDS LÄN</t>
        </is>
      </c>
      <c r="G113" t="inlineStr">
        <is>
          <t>TROLLHÄTTAN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46217</v>
      </c>
      <c r="F114" t="inlineStr">
        <is>
          <t>VÄSTRA GÖTALANDS LÄN</t>
        </is>
      </c>
      <c r="G114" t="inlineStr">
        <is>
          <t>TROLLHÄTTAN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38941-2023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46217</v>
      </c>
      <c r="F115" t="inlineStr">
        <is>
          <t>VÄSTRA GÖTALANDS LÄN</t>
        </is>
      </c>
      <c r="G115" t="inlineStr">
        <is>
          <t>TROLLHÄTTAN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46217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46217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16473-2023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46217</v>
      </c>
      <c r="F118" t="inlineStr">
        <is>
          <t>VÄSTRA GÖTALANDS LÄN</t>
        </is>
      </c>
      <c r="G118" t="inlineStr">
        <is>
          <t>TROLLHÄTTAN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16475-2023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46217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34435-2024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45525</v>
      </c>
      <c r="E120" s="1" t="n">
        <v>46217</v>
      </c>
      <c r="F120" t="inlineStr">
        <is>
          <t>VÄSTRA GÖTALANDS LÄN</t>
        </is>
      </c>
      <c r="G120" t="inlineStr">
        <is>
          <t>TROLLHÄTTAN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45565</v>
      </c>
      <c r="E121" s="1" t="n">
        <v>46217</v>
      </c>
      <c r="F121" t="inlineStr">
        <is>
          <t>VÄSTRA GÖTALANDS LÄN</t>
        </is>
      </c>
      <c r="G121" t="inlineStr">
        <is>
          <t>TROLLHÄTTAN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19781-2025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46217</v>
      </c>
      <c r="F122" t="inlineStr">
        <is>
          <t>VÄSTRA GÖTALANDS LÄN</t>
        </is>
      </c>
      <c r="G122" t="inlineStr">
        <is>
          <t>TROLLHÄTTAN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46217</v>
      </c>
      <c r="F123" t="inlineStr">
        <is>
          <t>VÄSTRA GÖTALANDS LÄN</t>
        </is>
      </c>
      <c r="G123" t="inlineStr">
        <is>
          <t>TROLLHÄTTAN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22620-2026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46155</v>
      </c>
      <c r="E124" s="1" t="n">
        <v>46217</v>
      </c>
      <c r="F124" t="inlineStr">
        <is>
          <t>VÄSTRA GÖTALANDS LÄN</t>
        </is>
      </c>
      <c r="G124" t="inlineStr">
        <is>
          <t>TROLLHÄTTAN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45156</v>
      </c>
      <c r="E125" s="1" t="n">
        <v>46217</v>
      </c>
      <c r="F125" t="inlineStr">
        <is>
          <t>VÄSTRA GÖTALANDS LÄN</t>
        </is>
      </c>
      <c r="G125" t="inlineStr">
        <is>
          <t>TROLLHÄTTAN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63884-2025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46020</v>
      </c>
      <c r="E126" s="1" t="n">
        <v>46217</v>
      </c>
      <c r="F126" t="inlineStr">
        <is>
          <t>VÄSTRA GÖTALANDS LÄN</t>
        </is>
      </c>
      <c r="G126" t="inlineStr">
        <is>
          <t>TROLLHÄTTAN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46217</v>
      </c>
      <c r="F127" t="inlineStr">
        <is>
          <t>VÄSTRA GÖTALANDS LÄN</t>
        </is>
      </c>
      <c r="G127" t="inlineStr">
        <is>
          <t>TROLLHÄTTAN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46217</v>
      </c>
      <c r="F128" t="inlineStr">
        <is>
          <t>VÄSTRA GÖTALANDS LÄN</t>
        </is>
      </c>
      <c r="G128" t="inlineStr">
        <is>
          <t>TROLLHÄTTAN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46217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46217</v>
      </c>
      <c r="F130" t="inlineStr">
        <is>
          <t>VÄSTRA GÖTALANDS LÄN</t>
        </is>
      </c>
      <c r="G130" t="inlineStr">
        <is>
          <t>TROLLHÄTTAN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7921-2024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46217</v>
      </c>
      <c r="F131" t="inlineStr">
        <is>
          <t>VÄSTRA GÖTALANDS LÄN</t>
        </is>
      </c>
      <c r="G131" t="inlineStr">
        <is>
          <t>TROLLHÄTTAN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46041</v>
      </c>
      <c r="E132" s="1" t="n">
        <v>46217</v>
      </c>
      <c r="F132" t="inlineStr">
        <is>
          <t>VÄSTRA GÖTALANDS LÄN</t>
        </is>
      </c>
      <c r="G132" t="inlineStr">
        <is>
          <t>TROLLHÄTTAN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13515-2022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46217</v>
      </c>
      <c r="F133" t="inlineStr">
        <is>
          <t>VÄSTRA GÖTALANDS LÄN</t>
        </is>
      </c>
      <c r="G133" t="inlineStr">
        <is>
          <t>TROLLHÄTTAN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46217</v>
      </c>
      <c r="F134" t="inlineStr">
        <is>
          <t>VÄSTRA GÖTALANDS LÄN</t>
        </is>
      </c>
      <c r="G134" t="inlineStr">
        <is>
          <t>TROLLHÄTTAN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46217</v>
      </c>
      <c r="F135" t="inlineStr">
        <is>
          <t>VÄSTRA GÖTALANDS LÄN</t>
        </is>
      </c>
      <c r="G135" t="inlineStr">
        <is>
          <t>TROLLHÄTTAN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7655-2026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46217</v>
      </c>
      <c r="F136" t="inlineStr">
        <is>
          <t>VÄSTRA GÖTALANDS LÄN</t>
        </is>
      </c>
      <c r="G136" t="inlineStr">
        <is>
          <t>TROLLHÄTTAN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7659-2026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46217</v>
      </c>
      <c r="F137" t="inlineStr">
        <is>
          <t>VÄSTRA GÖTALANDS LÄN</t>
        </is>
      </c>
      <c r="G137" t="inlineStr">
        <is>
          <t>TROLLHÄTTAN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61884-2024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45652</v>
      </c>
      <c r="E138" s="1" t="n">
        <v>46217</v>
      </c>
      <c r="F138" t="inlineStr">
        <is>
          <t>VÄSTRA GÖTALANDS LÄN</t>
        </is>
      </c>
      <c r="G138" t="inlineStr">
        <is>
          <t>TROLLHÄTTAN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45521-2022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46217</v>
      </c>
      <c r="F139" t="inlineStr">
        <is>
          <t>VÄSTRA GÖTALANDS LÄN</t>
        </is>
      </c>
      <c r="G139" t="inlineStr">
        <is>
          <t>TROLLHÄTTAN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44598</v>
      </c>
      <c r="E140" s="1" t="n">
        <v>46217</v>
      </c>
      <c r="F140" t="inlineStr">
        <is>
          <t>VÄSTRA GÖTALANDS LÄN</t>
        </is>
      </c>
      <c r="G140" t="inlineStr">
        <is>
          <t>TROLLHÄTTAN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23984-2024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45456</v>
      </c>
      <c r="E141" s="1" t="n">
        <v>46217</v>
      </c>
      <c r="F141" t="inlineStr">
        <is>
          <t>VÄSTRA GÖTALANDS LÄN</t>
        </is>
      </c>
      <c r="G141" t="inlineStr">
        <is>
          <t>TROLLHÄTTAN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24129-2024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45456</v>
      </c>
      <c r="E142" s="1" t="n">
        <v>46217</v>
      </c>
      <c r="F142" t="inlineStr">
        <is>
          <t>VÄSTRA GÖTALANDS LÄN</t>
        </is>
      </c>
      <c r="G142" t="inlineStr">
        <is>
          <t>TROLLHÄTTAN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32527-2024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45513</v>
      </c>
      <c r="E143" s="1" t="n">
        <v>46217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Kyrkan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32541-2024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46217</v>
      </c>
      <c r="F144" t="inlineStr">
        <is>
          <t>VÄSTRA GÖTALANDS LÄN</t>
        </is>
      </c>
      <c r="G144" t="inlineStr">
        <is>
          <t>TROLLHÄTTAN</t>
        </is>
      </c>
      <c r="H144" t="inlineStr">
        <is>
          <t>Kyrkan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44798</v>
      </c>
      <c r="E145" s="1" t="n">
        <v>46217</v>
      </c>
      <c r="F145" t="inlineStr">
        <is>
          <t>VÄSTRA GÖTALANDS LÄN</t>
        </is>
      </c>
      <c r="G145" t="inlineStr">
        <is>
          <t>TROLLHÄTTAN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65116-2023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45287</v>
      </c>
      <c r="E146" s="1" t="n">
        <v>46217</v>
      </c>
      <c r="F146" t="inlineStr">
        <is>
          <t>VÄSTRA GÖTALANDS LÄN</t>
        </is>
      </c>
      <c r="G146" t="inlineStr">
        <is>
          <t>TROLLHÄTTAN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14211-2026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46217</v>
      </c>
      <c r="F147" t="inlineStr">
        <is>
          <t>VÄSTRA GÖTALANDS LÄN</t>
        </is>
      </c>
      <c r="G147" t="inlineStr">
        <is>
          <t>TROLLHÄTTAN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59625-2023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46217</v>
      </c>
      <c r="F148" t="inlineStr">
        <is>
          <t>VÄSTRA GÖTALANDS LÄN</t>
        </is>
      </c>
      <c r="G148" t="inlineStr">
        <is>
          <t>TROLLHÄTTAN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19447-2025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46217</v>
      </c>
      <c r="F149" t="inlineStr">
        <is>
          <t>VÄSTRA GÖTALANDS LÄN</t>
        </is>
      </c>
      <c r="G149" t="inlineStr">
        <is>
          <t>TROLLHÄTTAN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15592-2026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46217</v>
      </c>
      <c r="F150" t="inlineStr">
        <is>
          <t>VÄSTRA GÖTALANDS LÄN</t>
        </is>
      </c>
      <c r="G150" t="inlineStr">
        <is>
          <t>TROLLHÄTTAN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46217</v>
      </c>
      <c r="F151" t="inlineStr">
        <is>
          <t>VÄSTRA GÖTALANDS LÄN</t>
        </is>
      </c>
      <c r="G151" t="inlineStr">
        <is>
          <t>TROLLHÄTTAN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54087-2021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44470</v>
      </c>
      <c r="E152" s="1" t="n">
        <v>46217</v>
      </c>
      <c r="F152" t="inlineStr">
        <is>
          <t>VÄSTRA GÖTALANDS LÄN</t>
        </is>
      </c>
      <c r="G152" t="inlineStr">
        <is>
          <t>TROLLHÄTTAN</t>
        </is>
      </c>
      <c r="H152" t="inlineStr">
        <is>
          <t>Kommuner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30505-2026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46210</v>
      </c>
      <c r="E153" s="1" t="n">
        <v>46217</v>
      </c>
      <c r="F153" t="inlineStr">
        <is>
          <t>VÄSTRA GÖTALANDS LÄN</t>
        </is>
      </c>
      <c r="G153" t="inlineStr">
        <is>
          <t>TROLLHÄTTAN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16030-2026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46108</v>
      </c>
      <c r="E154" s="1" t="n">
        <v>46217</v>
      </c>
      <c r="F154" t="inlineStr">
        <is>
          <t>VÄSTRA GÖTALANDS LÄN</t>
        </is>
      </c>
      <c r="G154" t="inlineStr">
        <is>
          <t>TROLLHÄTTAN</t>
        </is>
      </c>
      <c r="I154" t="n">
        <v>15.8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27652-2022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46217</v>
      </c>
      <c r="F155" t="inlineStr">
        <is>
          <t>VÄSTRA GÖTALANDS LÄN</t>
        </is>
      </c>
      <c r="G155" t="inlineStr">
        <is>
          <t>TROLLHÄTTAN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17485-2026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46120</v>
      </c>
      <c r="E156" s="1" t="n">
        <v>46217</v>
      </c>
      <c r="F156" t="inlineStr">
        <is>
          <t>VÄSTRA GÖTALANDS LÄN</t>
        </is>
      </c>
      <c r="G156" t="inlineStr">
        <is>
          <t>TROLLHÄTTAN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10858-2026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46217</v>
      </c>
      <c r="F157" t="inlineStr">
        <is>
          <t>VÄSTRA GÖTALANDS LÄN</t>
        </is>
      </c>
      <c r="G157" t="inlineStr">
        <is>
          <t>TROLLHÄTTAN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45580</v>
      </c>
      <c r="E158" s="1" t="n">
        <v>46217</v>
      </c>
      <c r="F158" t="inlineStr">
        <is>
          <t>VÄSTRA GÖTALANDS LÄN</t>
        </is>
      </c>
      <c r="G158" t="inlineStr">
        <is>
          <t>TROLLHÄTTAN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5242-2022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46217</v>
      </c>
      <c r="F159" t="inlineStr">
        <is>
          <t>VÄSTRA GÖTALANDS LÄN</t>
        </is>
      </c>
      <c r="G159" t="inlineStr">
        <is>
          <t>TROLLHÄTTAN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46529-2024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46217</v>
      </c>
      <c r="F160" t="inlineStr">
        <is>
          <t>VÄSTRA GÖTALANDS LÄN</t>
        </is>
      </c>
      <c r="G160" t="inlineStr">
        <is>
          <t>TROLLHÄTTAN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16154-2024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45406</v>
      </c>
      <c r="E161" s="1" t="n">
        <v>46217</v>
      </c>
      <c r="F161" t="inlineStr">
        <is>
          <t>VÄSTRA GÖTALANDS LÄN</t>
        </is>
      </c>
      <c r="G161" t="inlineStr">
        <is>
          <t>TROLLHÄTTAN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16155-2024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45406</v>
      </c>
      <c r="E162" s="1" t="n">
        <v>46217</v>
      </c>
      <c r="F162" t="inlineStr">
        <is>
          <t>VÄSTRA GÖTALANDS LÄN</t>
        </is>
      </c>
      <c r="G162" t="inlineStr">
        <is>
          <t>TROLLHÄTTAN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57259-2022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46217</v>
      </c>
      <c r="F163" t="inlineStr">
        <is>
          <t>VÄSTRA GÖTALANDS LÄN</t>
        </is>
      </c>
      <c r="G163" t="inlineStr">
        <is>
          <t>TROLLHÄTTAN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59879-2024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45640</v>
      </c>
      <c r="E164" s="1" t="n">
        <v>46217</v>
      </c>
      <c r="F164" t="inlineStr">
        <is>
          <t>VÄSTRA GÖTALANDS LÄN</t>
        </is>
      </c>
      <c r="G164" t="inlineStr">
        <is>
          <t>TROLLHÄTTAN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32826-2022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44784</v>
      </c>
      <c r="E165" s="1" t="n">
        <v>46217</v>
      </c>
      <c r="F165" t="inlineStr">
        <is>
          <t>VÄSTRA GÖTALANDS LÄN</t>
        </is>
      </c>
      <c r="G165" t="inlineStr">
        <is>
          <t>TROLLHÄTTAN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58330-2022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44901</v>
      </c>
      <c r="E166" s="1" t="n">
        <v>46217</v>
      </c>
      <c r="F166" t="inlineStr">
        <is>
          <t>VÄSTRA GÖTALANDS LÄN</t>
        </is>
      </c>
      <c r="G166" t="inlineStr">
        <is>
          <t>TROLLHÄTTAN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18840-2026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46217</v>
      </c>
      <c r="F167" t="inlineStr">
        <is>
          <t>VÄSTRA GÖTALANDS LÄN</t>
        </is>
      </c>
      <c r="G167" t="inlineStr">
        <is>
          <t>TROLLHÄTTAN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15704-2023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46217</v>
      </c>
      <c r="F168" t="inlineStr">
        <is>
          <t>VÄSTRA GÖTALANDS LÄN</t>
        </is>
      </c>
      <c r="G168" t="inlineStr">
        <is>
          <t>TROLLHÄTTAN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30796-2024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46217</v>
      </c>
      <c r="F169" t="inlineStr">
        <is>
          <t>VÄSTRA GÖTALANDS LÄN</t>
        </is>
      </c>
      <c r="G169" t="inlineStr">
        <is>
          <t>TROLLHÄTTAN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16152-2024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46217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4906-2024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46217</v>
      </c>
      <c r="F171" t="inlineStr">
        <is>
          <t>VÄSTRA GÖTALANDS LÄN</t>
        </is>
      </c>
      <c r="G171" t="inlineStr">
        <is>
          <t>TROLLHÄTTAN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19373-2026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46133</v>
      </c>
      <c r="E172" s="1" t="n">
        <v>46217</v>
      </c>
      <c r="F172" t="inlineStr">
        <is>
          <t>VÄSTRA GÖTALANDS LÄN</t>
        </is>
      </c>
      <c r="G172" t="inlineStr">
        <is>
          <t>TROLLHÄTTAN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13883-2022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44650</v>
      </c>
      <c r="E173" s="1" t="n">
        <v>46217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53401-2022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46217</v>
      </c>
      <c r="F174" t="inlineStr">
        <is>
          <t>VÄSTRA GÖTALANDS LÄN</t>
        </is>
      </c>
      <c r="G174" t="inlineStr">
        <is>
          <t>TROLLHÄTTAN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15181-2023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45016</v>
      </c>
      <c r="E175" s="1" t="n">
        <v>46217</v>
      </c>
      <c r="F175" t="inlineStr">
        <is>
          <t>VÄSTRA GÖTALANDS LÄN</t>
        </is>
      </c>
      <c r="G175" t="inlineStr">
        <is>
          <t>TROLLHÄTTAN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46217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46217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46217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13220-2022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44644</v>
      </c>
      <c r="E179" s="1" t="n">
        <v>46217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68400-2021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44529</v>
      </c>
      <c r="E180" s="1" t="n">
        <v>46217</v>
      </c>
      <c r="F180" t="inlineStr">
        <is>
          <t>VÄSTRA GÖTALANDS LÄN</t>
        </is>
      </c>
      <c r="G180" t="inlineStr">
        <is>
          <t>TROLLHÄTTAN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25514-2022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44732</v>
      </c>
      <c r="E181" s="1" t="n">
        <v>46217</v>
      </c>
      <c r="F181" t="inlineStr">
        <is>
          <t>VÄSTRA GÖTALANDS LÄN</t>
        </is>
      </c>
      <c r="G181" t="inlineStr">
        <is>
          <t>TROLLHÄTTAN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10494-2022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44623</v>
      </c>
      <c r="E182" s="1" t="n">
        <v>46217</v>
      </c>
      <c r="F182" t="inlineStr">
        <is>
          <t>VÄSTRA GÖTALANDS LÄN</t>
        </is>
      </c>
      <c r="G182" t="inlineStr">
        <is>
          <t>TROLLHÄTTAN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52688-2024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45610</v>
      </c>
      <c r="E183" s="1" t="n">
        <v>46217</v>
      </c>
      <c r="F183" t="inlineStr">
        <is>
          <t>VÄSTRA GÖTALANDS LÄN</t>
        </is>
      </c>
      <c r="G183" t="inlineStr">
        <is>
          <t>TROLLHÄTTAN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46217</v>
      </c>
      <c r="F184" t="inlineStr">
        <is>
          <t>VÄSTRA GÖTALANDS LÄN</t>
        </is>
      </c>
      <c r="G184" t="inlineStr">
        <is>
          <t>TROLLHÄTTAN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45310</v>
      </c>
      <c r="E185" s="1" t="n">
        <v>46217</v>
      </c>
      <c r="F185" t="inlineStr">
        <is>
          <t>VÄSTRA GÖTALANDS LÄN</t>
        </is>
      </c>
      <c r="G185" t="inlineStr">
        <is>
          <t>TROLLHÄTTAN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37305-2022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44808</v>
      </c>
      <c r="E186" s="1" t="n">
        <v>46217</v>
      </c>
      <c r="F186" t="inlineStr">
        <is>
          <t>VÄSTRA GÖTALANDS LÄN</t>
        </is>
      </c>
      <c r="G186" t="inlineStr">
        <is>
          <t>TROLLHÄTTAN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60498-2024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46217</v>
      </c>
      <c r="F187" t="inlineStr">
        <is>
          <t>VÄSTRA GÖTALANDS LÄN</t>
        </is>
      </c>
      <c r="G187" t="inlineStr">
        <is>
          <t>TROLLHÄTTAN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37562-2024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46217</v>
      </c>
      <c r="F188" t="inlineStr">
        <is>
          <t>VÄSTRA GÖTALANDS LÄN</t>
        </is>
      </c>
      <c r="G188" t="inlineStr">
        <is>
          <t>TROLLHÄTTAN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15659-2025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45748</v>
      </c>
      <c r="E189" s="1" t="n">
        <v>46217</v>
      </c>
      <c r="F189" t="inlineStr">
        <is>
          <t>VÄSTRA GÖTALANDS LÄN</t>
        </is>
      </c>
      <c r="G189" t="inlineStr">
        <is>
          <t>TROLLHÄTTAN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46217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46217</v>
      </c>
      <c r="F191" t="inlineStr">
        <is>
          <t>VÄSTRA GÖTALANDS LÄN</t>
        </is>
      </c>
      <c r="G191" t="inlineStr">
        <is>
          <t>TROLLHÄTTAN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46217</v>
      </c>
      <c r="F192" t="inlineStr">
        <is>
          <t>VÄSTRA GÖTALANDS LÄN</t>
        </is>
      </c>
      <c r="G192" t="inlineStr">
        <is>
          <t>TROLLHÄTTAN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45318</v>
      </c>
      <c r="E193" s="1" t="n">
        <v>46217</v>
      </c>
      <c r="F193" t="inlineStr">
        <is>
          <t>VÄSTRA GÖTALANDS LÄN</t>
        </is>
      </c>
      <c r="G193" t="inlineStr">
        <is>
          <t>TROLLHÄTTAN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10767-2024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46217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24432-2022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44726</v>
      </c>
      <c r="E195" s="1" t="n">
        <v>46217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16487-2023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45029</v>
      </c>
      <c r="E196" s="1" t="n">
        <v>46217</v>
      </c>
      <c r="F196" t="inlineStr">
        <is>
          <t>VÄSTRA GÖTALANDS LÄN</t>
        </is>
      </c>
      <c r="G196" t="inlineStr">
        <is>
          <t>TROLLHÄTTAN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64669-2023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46217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46217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12329-2024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46217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45684</v>
      </c>
      <c r="E200" s="1" t="n">
        <v>46217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62294-2022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44923</v>
      </c>
      <c r="E201" s="1" t="n">
        <v>46217</v>
      </c>
      <c r="F201" t="inlineStr">
        <is>
          <t>VÄSTRA GÖTALANDS LÄN</t>
        </is>
      </c>
      <c r="G201" t="inlineStr">
        <is>
          <t>TROLLHÄTTAN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12264-2024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45378</v>
      </c>
      <c r="E202" s="1" t="n">
        <v>46217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12266-2024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46217</v>
      </c>
      <c r="F203" t="inlineStr">
        <is>
          <t>VÄSTRA GÖTALANDS LÄN</t>
        </is>
      </c>
      <c r="G203" t="inlineStr">
        <is>
          <t>TROLLHÄTTAN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44708-2023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46217</v>
      </c>
      <c r="F204" t="inlineStr">
        <is>
          <t>VÄSTRA GÖTALANDS LÄN</t>
        </is>
      </c>
      <c r="G204" t="inlineStr">
        <is>
          <t>TROLLHÄTTAN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20955-2025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45777</v>
      </c>
      <c r="E205" s="1" t="n">
        <v>46217</v>
      </c>
      <c r="F205" t="inlineStr">
        <is>
          <t>VÄSTRA GÖTALANDS LÄN</t>
        </is>
      </c>
      <c r="G205" t="inlineStr">
        <is>
          <t>TROLLHÄTTAN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22016-2025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46217</v>
      </c>
      <c r="F206" t="inlineStr">
        <is>
          <t>VÄSTRA GÖTALANDS LÄN</t>
        </is>
      </c>
      <c r="G206" t="inlineStr">
        <is>
          <t>TROLLHÄTTAN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37801-2024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45543</v>
      </c>
      <c r="E207" s="1" t="n">
        <v>46217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24559-2025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45798</v>
      </c>
      <c r="E208" s="1" t="n">
        <v>46217</v>
      </c>
      <c r="F208" t="inlineStr">
        <is>
          <t>VÄSTRA GÖTALANDS LÄN</t>
        </is>
      </c>
      <c r="G208" t="inlineStr">
        <is>
          <t>TROLLHÄTTAN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11837-2025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46217</v>
      </c>
      <c r="F209" t="inlineStr">
        <is>
          <t>VÄSTRA GÖTALANDS LÄN</t>
        </is>
      </c>
      <c r="G209" t="inlineStr">
        <is>
          <t>TROLLHÄTTAN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15645-2024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45404</v>
      </c>
      <c r="E210" s="1" t="n">
        <v>46217</v>
      </c>
      <c r="F210" t="inlineStr">
        <is>
          <t>VÄSTRA GÖTALANDS LÄN</t>
        </is>
      </c>
      <c r="G210" t="inlineStr">
        <is>
          <t>TROLLHÄTTAN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46217</v>
      </c>
      <c r="F211" t="inlineStr">
        <is>
          <t>VÄSTRA GÖTALANDS LÄN</t>
        </is>
      </c>
      <c r="G211" t="inlineStr">
        <is>
          <t>TROLLHÄTTAN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49062-2024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46217</v>
      </c>
      <c r="F212" t="inlineStr">
        <is>
          <t>VÄSTRA GÖTALANDS LÄN</t>
        </is>
      </c>
      <c r="G212" t="inlineStr">
        <is>
          <t>TROLLHÄTTAN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46217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46217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46217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46217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46217</v>
      </c>
      <c r="F217" t="inlineStr">
        <is>
          <t>VÄSTRA GÖTALANDS LÄN</t>
        </is>
      </c>
      <c r="G217" t="inlineStr">
        <is>
          <t>TROLLHÄTTAN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10640-2025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46217</v>
      </c>
      <c r="F218" t="inlineStr">
        <is>
          <t>VÄSTRA GÖTALANDS LÄN</t>
        </is>
      </c>
      <c r="G218" t="inlineStr">
        <is>
          <t>TROLLHÄTTAN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46217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46217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2026-07-14T09:02:13Z</dcterms:created>
  <dcterms:modified xmlns:dcterms="http://purl.org/dc/terms/" xmlns:xsi="http://www.w3.org/2001/XMLSchema-instance" xsi:type="dcterms:W3CDTF">2026-07-14T09:02:14Z</dcterms:modified>
</cp:coreProperties>
</file>