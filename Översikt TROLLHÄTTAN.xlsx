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50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68519-2021</t>
        </is>
      </c>
      <c r="B2" s="1" t="n">
        <v>44529</v>
      </c>
      <c r="C2" s="1" t="n">
        <v>45837</v>
      </c>
      <c r="D2" t="inlineStr">
        <is>
          <t>VÄSTRA GÖTALANDS LÄN</t>
        </is>
      </c>
      <c r="E2" t="inlineStr">
        <is>
          <t>TROLLHÄTTAN</t>
        </is>
      </c>
      <c r="G2" t="n">
        <v>16.6</v>
      </c>
      <c r="H2" t="n">
        <v>4</v>
      </c>
      <c r="I2" t="n">
        <v>1</v>
      </c>
      <c r="J2" t="n">
        <v>0</v>
      </c>
      <c r="K2" t="n">
        <v>0</v>
      </c>
      <c r="L2" t="n">
        <v>2</v>
      </c>
      <c r="M2" t="n">
        <v>0</v>
      </c>
      <c r="N2" t="n">
        <v>0</v>
      </c>
      <c r="O2" t="n">
        <v>2</v>
      </c>
      <c r="P2" t="n">
        <v>2</v>
      </c>
      <c r="Q2" t="n">
        <v>6</v>
      </c>
      <c r="R2" s="2" t="inlineStr">
        <is>
          <t>Ask
Ryl
Spindelblomster
Grönvit nattviol
Mattlummer
Revlummer</t>
        </is>
      </c>
      <c r="S2">
        <f>HYPERLINK("https://klasma.github.io/Logging_1488/artfynd/A 68519-2021 artfynd.xlsx", "A 68519-2021")</f>
        <v/>
      </c>
      <c r="T2">
        <f>HYPERLINK("https://klasma.github.io/Logging_1488/kartor/A 68519-2021 karta.png", "A 68519-2021")</f>
        <v/>
      </c>
      <c r="V2">
        <f>HYPERLINK("https://klasma.github.io/Logging_1488/klagomål/A 68519-2021 FSC-klagomål.docx", "A 68519-2021")</f>
        <v/>
      </c>
      <c r="W2">
        <f>HYPERLINK("https://klasma.github.io/Logging_1488/klagomålsmail/A 68519-2021 FSC-klagomål mail.docx", "A 68519-2021")</f>
        <v/>
      </c>
      <c r="X2">
        <f>HYPERLINK("https://klasma.github.io/Logging_1488/tillsyn/A 68519-2021 tillsynsbegäran.docx", "A 68519-2021")</f>
        <v/>
      </c>
      <c r="Y2">
        <f>HYPERLINK("https://klasma.github.io/Logging_1488/tillsynsmail/A 68519-2021 tillsynsbegäran mail.docx", "A 68519-2021")</f>
        <v/>
      </c>
    </row>
    <row r="3" ht="15" customHeight="1">
      <c r="A3" t="inlineStr">
        <is>
          <t>A 5620-2020</t>
        </is>
      </c>
      <c r="B3" s="1" t="n">
        <v>43861</v>
      </c>
      <c r="C3" s="1" t="n">
        <v>45837</v>
      </c>
      <c r="D3" t="inlineStr">
        <is>
          <t>VÄSTRA GÖTALANDS LÄN</t>
        </is>
      </c>
      <c r="E3" t="inlineStr">
        <is>
          <t>TROLLHÄTTAN</t>
        </is>
      </c>
      <c r="F3" t="inlineStr">
        <is>
          <t>Kommuner</t>
        </is>
      </c>
      <c r="G3" t="n">
        <v>5.7</v>
      </c>
      <c r="H3" t="n">
        <v>1</v>
      </c>
      <c r="I3" t="n">
        <v>2</v>
      </c>
      <c r="J3" t="n">
        <v>0</v>
      </c>
      <c r="K3" t="n">
        <v>1</v>
      </c>
      <c r="L3" t="n">
        <v>0</v>
      </c>
      <c r="M3" t="n">
        <v>0</v>
      </c>
      <c r="N3" t="n">
        <v>0</v>
      </c>
      <c r="O3" t="n">
        <v>1</v>
      </c>
      <c r="P3" t="n">
        <v>1</v>
      </c>
      <c r="Q3" t="n">
        <v>3</v>
      </c>
      <c r="R3" s="2" t="inlineStr">
        <is>
          <t>Tofsvipa
Blåmossa
Dropptaggsvamp</t>
        </is>
      </c>
      <c r="S3">
        <f>HYPERLINK("https://klasma.github.io/Logging_1488/artfynd/A 5620-2020 artfynd.xlsx", "A 5620-2020")</f>
        <v/>
      </c>
      <c r="T3">
        <f>HYPERLINK("https://klasma.github.io/Logging_1488/kartor/A 5620-2020 karta.png", "A 5620-2020")</f>
        <v/>
      </c>
      <c r="V3">
        <f>HYPERLINK("https://klasma.github.io/Logging_1488/klagomål/A 5620-2020 FSC-klagomål.docx", "A 5620-2020")</f>
        <v/>
      </c>
      <c r="W3">
        <f>HYPERLINK("https://klasma.github.io/Logging_1488/klagomålsmail/A 5620-2020 FSC-klagomål mail.docx", "A 5620-2020")</f>
        <v/>
      </c>
      <c r="X3">
        <f>HYPERLINK("https://klasma.github.io/Logging_1488/tillsyn/A 5620-2020 tillsynsbegäran.docx", "A 5620-2020")</f>
        <v/>
      </c>
      <c r="Y3">
        <f>HYPERLINK("https://klasma.github.io/Logging_1488/tillsynsmail/A 5620-2020 tillsynsbegäran mail.docx", "A 5620-2020")</f>
        <v/>
      </c>
    </row>
    <row r="4" ht="15" customHeight="1">
      <c r="A4" t="inlineStr">
        <is>
          <t>A 5767-2023</t>
        </is>
      </c>
      <c r="B4" s="1" t="n">
        <v>44963</v>
      </c>
      <c r="C4" s="1" t="n">
        <v>45837</v>
      </c>
      <c r="D4" t="inlineStr">
        <is>
          <t>VÄSTRA GÖTALANDS LÄN</t>
        </is>
      </c>
      <c r="E4" t="inlineStr">
        <is>
          <t>TROLLHÄTTAN</t>
        </is>
      </c>
      <c r="G4" t="n">
        <v>2.8</v>
      </c>
      <c r="H4" t="n">
        <v>3</v>
      </c>
      <c r="I4" t="n">
        <v>0</v>
      </c>
      <c r="J4" t="n">
        <v>1</v>
      </c>
      <c r="K4" t="n">
        <v>0</v>
      </c>
      <c r="L4" t="n">
        <v>0</v>
      </c>
      <c r="M4" t="n">
        <v>0</v>
      </c>
      <c r="N4" t="n">
        <v>0</v>
      </c>
      <c r="O4" t="n">
        <v>1</v>
      </c>
      <c r="P4" t="n">
        <v>0</v>
      </c>
      <c r="Q4" t="n">
        <v>3</v>
      </c>
      <c r="R4" s="2" t="inlineStr">
        <is>
          <t>Havsörn
Tjäder
Trana</t>
        </is>
      </c>
      <c r="S4">
        <f>HYPERLINK("https://klasma.github.io/Logging_1488/artfynd/A 5767-2023 artfynd.xlsx", "A 5767-2023")</f>
        <v/>
      </c>
      <c r="T4">
        <f>HYPERLINK("https://klasma.github.io/Logging_1488/kartor/A 5767-2023 karta.png", "A 5767-2023")</f>
        <v/>
      </c>
      <c r="V4">
        <f>HYPERLINK("https://klasma.github.io/Logging_1488/klagomål/A 5767-2023 FSC-klagomål.docx", "A 5767-2023")</f>
        <v/>
      </c>
      <c r="W4">
        <f>HYPERLINK("https://klasma.github.io/Logging_1488/klagomålsmail/A 5767-2023 FSC-klagomål mail.docx", "A 5767-2023")</f>
        <v/>
      </c>
      <c r="X4">
        <f>HYPERLINK("https://klasma.github.io/Logging_1488/tillsyn/A 5767-2023 tillsynsbegäran.docx", "A 5767-2023")</f>
        <v/>
      </c>
      <c r="Y4">
        <f>HYPERLINK("https://klasma.github.io/Logging_1488/tillsynsmail/A 5767-2023 tillsynsbegäran mail.docx", "A 5767-2023")</f>
        <v/>
      </c>
      <c r="Z4">
        <f>HYPERLINK("https://klasma.github.io/Logging_1488/fåglar/A 5767-2023 prioriterade fågelarter.docx", "A 5767-2023")</f>
        <v/>
      </c>
    </row>
    <row r="5" ht="15" customHeight="1">
      <c r="A5" t="inlineStr">
        <is>
          <t>A 10438-2024</t>
        </is>
      </c>
      <c r="B5" s="1" t="n">
        <v>45366</v>
      </c>
      <c r="C5" s="1" t="n">
        <v>45837</v>
      </c>
      <c r="D5" t="inlineStr">
        <is>
          <t>VÄSTRA GÖTALANDS LÄN</t>
        </is>
      </c>
      <c r="E5" t="inlineStr">
        <is>
          <t>TROLLHÄTTAN</t>
        </is>
      </c>
      <c r="G5" t="n">
        <v>2.4</v>
      </c>
      <c r="H5" t="n">
        <v>0</v>
      </c>
      <c r="I5" t="n">
        <v>3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3</v>
      </c>
      <c r="R5" s="2" t="inlineStr">
        <is>
          <t>Fällmossa
Strutbräken
Stubbspretmossa</t>
        </is>
      </c>
      <c r="S5">
        <f>HYPERLINK("https://klasma.github.io/Logging_1488/artfynd/A 10438-2024 artfynd.xlsx", "A 10438-2024")</f>
        <v/>
      </c>
      <c r="T5">
        <f>HYPERLINK("https://klasma.github.io/Logging_1488/kartor/A 10438-2024 karta.png", "A 10438-2024")</f>
        <v/>
      </c>
      <c r="V5">
        <f>HYPERLINK("https://klasma.github.io/Logging_1488/klagomål/A 10438-2024 FSC-klagomål.docx", "A 10438-2024")</f>
        <v/>
      </c>
      <c r="W5">
        <f>HYPERLINK("https://klasma.github.io/Logging_1488/klagomålsmail/A 10438-2024 FSC-klagomål mail.docx", "A 10438-2024")</f>
        <v/>
      </c>
      <c r="X5">
        <f>HYPERLINK("https://klasma.github.io/Logging_1488/tillsyn/A 10438-2024 tillsynsbegäran.docx", "A 10438-2024")</f>
        <v/>
      </c>
      <c r="Y5">
        <f>HYPERLINK("https://klasma.github.io/Logging_1488/tillsynsmail/A 10438-2024 tillsynsbegäran mail.docx", "A 10438-2024")</f>
        <v/>
      </c>
    </row>
    <row r="6" ht="15" customHeight="1">
      <c r="A6" t="inlineStr">
        <is>
          <t>A 39460-2021</t>
        </is>
      </c>
      <c r="B6" s="1" t="n">
        <v>44414</v>
      </c>
      <c r="C6" s="1" t="n">
        <v>45837</v>
      </c>
      <c r="D6" t="inlineStr">
        <is>
          <t>VÄSTRA GÖTALANDS LÄN</t>
        </is>
      </c>
      <c r="E6" t="inlineStr">
        <is>
          <t>TROLLHÄTTAN</t>
        </is>
      </c>
      <c r="G6" t="n">
        <v>8.800000000000001</v>
      </c>
      <c r="H6" t="n">
        <v>2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Mattlummer
Äkta lopplummer</t>
        </is>
      </c>
      <c r="S6">
        <f>HYPERLINK("https://klasma.github.io/Logging_1488/artfynd/A 39460-2021 artfynd.xlsx", "A 39460-2021")</f>
        <v/>
      </c>
      <c r="T6">
        <f>HYPERLINK("https://klasma.github.io/Logging_1488/kartor/A 39460-2021 karta.png", "A 39460-2021")</f>
        <v/>
      </c>
      <c r="V6">
        <f>HYPERLINK("https://klasma.github.io/Logging_1488/klagomål/A 39460-2021 FSC-klagomål.docx", "A 39460-2021")</f>
        <v/>
      </c>
      <c r="W6">
        <f>HYPERLINK("https://klasma.github.io/Logging_1488/klagomålsmail/A 39460-2021 FSC-klagomål mail.docx", "A 39460-2021")</f>
        <v/>
      </c>
      <c r="X6">
        <f>HYPERLINK("https://klasma.github.io/Logging_1488/tillsyn/A 39460-2021 tillsynsbegäran.docx", "A 39460-2021")</f>
        <v/>
      </c>
      <c r="Y6">
        <f>HYPERLINK("https://klasma.github.io/Logging_1488/tillsynsmail/A 39460-2021 tillsynsbegäran mail.docx", "A 39460-2021")</f>
        <v/>
      </c>
    </row>
    <row r="7" ht="15" customHeight="1">
      <c r="A7" t="inlineStr">
        <is>
          <t>A 19988-2024</t>
        </is>
      </c>
      <c r="B7" s="1" t="n">
        <v>45433</v>
      </c>
      <c r="C7" s="1" t="n">
        <v>45837</v>
      </c>
      <c r="D7" t="inlineStr">
        <is>
          <t>VÄSTRA GÖTALANDS LÄN</t>
        </is>
      </c>
      <c r="E7" t="inlineStr">
        <is>
          <t>TROLLHÄTTAN</t>
        </is>
      </c>
      <c r="G7" t="n">
        <v>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1</v>
      </c>
      <c r="N7" t="n">
        <v>0</v>
      </c>
      <c r="O7" t="n">
        <v>1</v>
      </c>
      <c r="P7" t="n">
        <v>1</v>
      </c>
      <c r="Q7" t="n">
        <v>2</v>
      </c>
      <c r="R7" s="2" t="inlineStr">
        <is>
          <t>Lundalm
Strutbräken</t>
        </is>
      </c>
      <c r="S7">
        <f>HYPERLINK("https://klasma.github.io/Logging_1488/artfynd/A 19988-2024 artfynd.xlsx", "A 19988-2024")</f>
        <v/>
      </c>
      <c r="T7">
        <f>HYPERLINK("https://klasma.github.io/Logging_1488/kartor/A 19988-2024 karta.png", "A 19988-2024")</f>
        <v/>
      </c>
      <c r="V7">
        <f>HYPERLINK("https://klasma.github.io/Logging_1488/klagomål/A 19988-2024 FSC-klagomål.docx", "A 19988-2024")</f>
        <v/>
      </c>
      <c r="W7">
        <f>HYPERLINK("https://klasma.github.io/Logging_1488/klagomålsmail/A 19988-2024 FSC-klagomål mail.docx", "A 19988-2024")</f>
        <v/>
      </c>
      <c r="X7">
        <f>HYPERLINK("https://klasma.github.io/Logging_1488/tillsyn/A 19988-2024 tillsynsbegäran.docx", "A 19988-2024")</f>
        <v/>
      </c>
      <c r="Y7">
        <f>HYPERLINK("https://klasma.github.io/Logging_1488/tillsynsmail/A 19988-2024 tillsynsbegäran mail.docx", "A 19988-2024")</f>
        <v/>
      </c>
    </row>
    <row r="8" ht="15" customHeight="1">
      <c r="A8" t="inlineStr">
        <is>
          <t>A 13597-2021</t>
        </is>
      </c>
      <c r="B8" s="1" t="n">
        <v>44274</v>
      </c>
      <c r="C8" s="1" t="n">
        <v>45837</v>
      </c>
      <c r="D8" t="inlineStr">
        <is>
          <t>VÄSTRA GÖTALANDS LÄN</t>
        </is>
      </c>
      <c r="E8" t="inlineStr">
        <is>
          <t>TROLLHÄTTAN</t>
        </is>
      </c>
      <c r="G8" t="n">
        <v>1.6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Skogsödla</t>
        </is>
      </c>
      <c r="S8">
        <f>HYPERLINK("https://klasma.github.io/Logging_1488/artfynd/A 13597-2021 artfynd.xlsx", "A 13597-2021")</f>
        <v/>
      </c>
      <c r="T8">
        <f>HYPERLINK("https://klasma.github.io/Logging_1488/kartor/A 13597-2021 karta.png", "A 13597-2021")</f>
        <v/>
      </c>
      <c r="V8">
        <f>HYPERLINK("https://klasma.github.io/Logging_1488/klagomål/A 13597-2021 FSC-klagomål.docx", "A 13597-2021")</f>
        <v/>
      </c>
      <c r="W8">
        <f>HYPERLINK("https://klasma.github.io/Logging_1488/klagomålsmail/A 13597-2021 FSC-klagomål mail.docx", "A 13597-2021")</f>
        <v/>
      </c>
      <c r="X8">
        <f>HYPERLINK("https://klasma.github.io/Logging_1488/tillsyn/A 13597-2021 tillsynsbegäran.docx", "A 13597-2021")</f>
        <v/>
      </c>
      <c r="Y8">
        <f>HYPERLINK("https://klasma.github.io/Logging_1488/tillsynsmail/A 13597-2021 tillsynsbegäran mail.docx", "A 13597-2021")</f>
        <v/>
      </c>
    </row>
    <row r="9" ht="15" customHeight="1">
      <c r="A9" t="inlineStr">
        <is>
          <t>A 1259-2022</t>
        </is>
      </c>
      <c r="B9" s="1" t="n">
        <v>44572</v>
      </c>
      <c r="C9" s="1" t="n">
        <v>45837</v>
      </c>
      <c r="D9" t="inlineStr">
        <is>
          <t>VÄSTRA GÖTALANDS LÄN</t>
        </is>
      </c>
      <c r="E9" t="inlineStr">
        <is>
          <t>TROLLHÄTTAN</t>
        </is>
      </c>
      <c r="G9" t="n">
        <v>1.4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Svartvit flugsnappare</t>
        </is>
      </c>
      <c r="S9">
        <f>HYPERLINK("https://klasma.github.io/Logging_1488/artfynd/A 1259-2022 artfynd.xlsx", "A 1259-2022")</f>
        <v/>
      </c>
      <c r="T9">
        <f>HYPERLINK("https://klasma.github.io/Logging_1488/kartor/A 1259-2022 karta.png", "A 1259-2022")</f>
        <v/>
      </c>
      <c r="V9">
        <f>HYPERLINK("https://klasma.github.io/Logging_1488/klagomål/A 1259-2022 FSC-klagomål.docx", "A 1259-2022")</f>
        <v/>
      </c>
      <c r="W9">
        <f>HYPERLINK("https://klasma.github.io/Logging_1488/klagomålsmail/A 1259-2022 FSC-klagomål mail.docx", "A 1259-2022")</f>
        <v/>
      </c>
      <c r="X9">
        <f>HYPERLINK("https://klasma.github.io/Logging_1488/tillsyn/A 1259-2022 tillsynsbegäran.docx", "A 1259-2022")</f>
        <v/>
      </c>
      <c r="Y9">
        <f>HYPERLINK("https://klasma.github.io/Logging_1488/tillsynsmail/A 1259-2022 tillsynsbegäran mail.docx", "A 1259-2022")</f>
        <v/>
      </c>
      <c r="Z9">
        <f>HYPERLINK("https://klasma.github.io/Logging_1488/fåglar/A 1259-2022 prioriterade fågelarter.docx", "A 1259-2022")</f>
        <v/>
      </c>
    </row>
    <row r="10" ht="15" customHeight="1">
      <c r="A10" t="inlineStr">
        <is>
          <t>A 18264-2022</t>
        </is>
      </c>
      <c r="B10" s="1" t="n">
        <v>44685</v>
      </c>
      <c r="C10" s="1" t="n">
        <v>45837</v>
      </c>
      <c r="D10" t="inlineStr">
        <is>
          <t>VÄSTRA GÖTALANDS LÄN</t>
        </is>
      </c>
      <c r="E10" t="inlineStr">
        <is>
          <t>TROLLHÄTTAN</t>
        </is>
      </c>
      <c r="G10" t="n">
        <v>16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HYPERLINK("https://klasma.github.io/Logging_1488/artfynd/A 18264-2022 artfynd.xlsx", "A 18264-2022")</f>
        <v/>
      </c>
      <c r="T10">
        <f>HYPERLINK("https://klasma.github.io/Logging_1488/kartor/A 18264-2022 karta.png", "A 18264-2022")</f>
        <v/>
      </c>
      <c r="U10">
        <f>HYPERLINK("https://klasma.github.io/Logging_1488/knärot/A 18264-2022 karta knärot.png", "A 18264-2022")</f>
        <v/>
      </c>
      <c r="V10">
        <f>HYPERLINK("https://klasma.github.io/Logging_1488/klagomål/A 18264-2022 FSC-klagomål.docx", "A 18264-2022")</f>
        <v/>
      </c>
      <c r="W10">
        <f>HYPERLINK("https://klasma.github.io/Logging_1488/klagomålsmail/A 18264-2022 FSC-klagomål mail.docx", "A 18264-2022")</f>
        <v/>
      </c>
      <c r="X10">
        <f>HYPERLINK("https://klasma.github.io/Logging_1488/tillsyn/A 18264-2022 tillsynsbegäran.docx", "A 18264-2022")</f>
        <v/>
      </c>
      <c r="Y10">
        <f>HYPERLINK("https://klasma.github.io/Logging_1488/tillsynsmail/A 18264-2022 tillsynsbegäran mail.docx", "A 18264-2022")</f>
        <v/>
      </c>
    </row>
    <row r="11" ht="15" customHeight="1">
      <c r="A11" t="inlineStr">
        <is>
          <t>A 2401-2024</t>
        </is>
      </c>
      <c r="B11" s="1" t="n">
        <v>45310</v>
      </c>
      <c r="C11" s="1" t="n">
        <v>45837</v>
      </c>
      <c r="D11" t="inlineStr">
        <is>
          <t>VÄSTRA GÖTALANDS LÄN</t>
        </is>
      </c>
      <c r="E11" t="inlineStr">
        <is>
          <t>TROLLHÄTTAN</t>
        </is>
      </c>
      <c r="G11" t="n">
        <v>1.2</v>
      </c>
      <c r="H11" t="n">
        <v>1</v>
      </c>
      <c r="I11" t="n">
        <v>0</v>
      </c>
      <c r="J11" t="n">
        <v>1</v>
      </c>
      <c r="K11" t="n">
        <v>0</v>
      </c>
      <c r="L11" t="n">
        <v>0</v>
      </c>
      <c r="M11" t="n">
        <v>0</v>
      </c>
      <c r="N11" t="n">
        <v>0</v>
      </c>
      <c r="O11" t="n">
        <v>1</v>
      </c>
      <c r="P11" t="n">
        <v>0</v>
      </c>
      <c r="Q11" t="n">
        <v>1</v>
      </c>
      <c r="R11" s="2" t="inlineStr">
        <is>
          <t>Svartvit flugsnappare</t>
        </is>
      </c>
      <c r="S11">
        <f>HYPERLINK("https://klasma.github.io/Logging_1488/artfynd/A 2401-2024 artfynd.xlsx", "A 2401-2024")</f>
        <v/>
      </c>
      <c r="T11">
        <f>HYPERLINK("https://klasma.github.io/Logging_1488/kartor/A 2401-2024 karta.png", "A 2401-2024")</f>
        <v/>
      </c>
      <c r="V11">
        <f>HYPERLINK("https://klasma.github.io/Logging_1488/klagomål/A 2401-2024 FSC-klagomål.docx", "A 2401-2024")</f>
        <v/>
      </c>
      <c r="W11">
        <f>HYPERLINK("https://klasma.github.io/Logging_1488/klagomålsmail/A 2401-2024 FSC-klagomål mail.docx", "A 2401-2024")</f>
        <v/>
      </c>
      <c r="X11">
        <f>HYPERLINK("https://klasma.github.io/Logging_1488/tillsyn/A 2401-2024 tillsynsbegäran.docx", "A 2401-2024")</f>
        <v/>
      </c>
      <c r="Y11">
        <f>HYPERLINK("https://klasma.github.io/Logging_1488/tillsynsmail/A 2401-2024 tillsynsbegäran mail.docx", "A 2401-2024")</f>
        <v/>
      </c>
      <c r="Z11">
        <f>HYPERLINK("https://klasma.github.io/Logging_1488/fåglar/A 2401-2024 prioriterade fågelarter.docx", "A 2401-2024")</f>
        <v/>
      </c>
    </row>
    <row r="12" ht="15" customHeight="1">
      <c r="A12" t="inlineStr">
        <is>
          <t>A 4617-2025</t>
        </is>
      </c>
      <c r="B12" s="1" t="n">
        <v>45687</v>
      </c>
      <c r="C12" s="1" t="n">
        <v>45837</v>
      </c>
      <c r="D12" t="inlineStr">
        <is>
          <t>VÄSTRA GÖTALANDS LÄN</t>
        </is>
      </c>
      <c r="E12" t="inlineStr">
        <is>
          <t>TROLLHÄTTAN</t>
        </is>
      </c>
      <c r="G12" t="n">
        <v>4.3</v>
      </c>
      <c r="H12" t="n">
        <v>1</v>
      </c>
      <c r="I12" t="n">
        <v>0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1</v>
      </c>
      <c r="R12" s="2" t="inlineStr">
        <is>
          <t>Spillkråka</t>
        </is>
      </c>
      <c r="S12">
        <f>HYPERLINK("https://klasma.github.io/Logging_1488/artfynd/A 4617-2025 artfynd.xlsx", "A 4617-2025")</f>
        <v/>
      </c>
      <c r="T12">
        <f>HYPERLINK("https://klasma.github.io/Logging_1488/kartor/A 4617-2025 karta.png", "A 4617-2025")</f>
        <v/>
      </c>
      <c r="V12">
        <f>HYPERLINK("https://klasma.github.io/Logging_1488/klagomål/A 4617-2025 FSC-klagomål.docx", "A 4617-2025")</f>
        <v/>
      </c>
      <c r="W12">
        <f>HYPERLINK("https://klasma.github.io/Logging_1488/klagomålsmail/A 4617-2025 FSC-klagomål mail.docx", "A 4617-2025")</f>
        <v/>
      </c>
      <c r="X12">
        <f>HYPERLINK("https://klasma.github.io/Logging_1488/tillsyn/A 4617-2025 tillsynsbegäran.docx", "A 4617-2025")</f>
        <v/>
      </c>
      <c r="Y12">
        <f>HYPERLINK("https://klasma.github.io/Logging_1488/tillsynsmail/A 4617-2025 tillsynsbegäran mail.docx", "A 4617-2025")</f>
        <v/>
      </c>
      <c r="Z12">
        <f>HYPERLINK("https://klasma.github.io/Logging_1488/fåglar/A 4617-2025 prioriterade fågelarter.docx", "A 4617-2025")</f>
        <v/>
      </c>
    </row>
    <row r="13" ht="15" customHeight="1">
      <c r="A13" t="inlineStr">
        <is>
          <t>A 19720-2019</t>
        </is>
      </c>
      <c r="B13" s="1" t="n">
        <v>43566</v>
      </c>
      <c r="C13" s="1" t="n">
        <v>45837</v>
      </c>
      <c r="D13" t="inlineStr">
        <is>
          <t>VÄSTRA GÖTALANDS LÄN</t>
        </is>
      </c>
      <c r="E13" t="inlineStr">
        <is>
          <t>TROLLHÄTTAN</t>
        </is>
      </c>
      <c r="G13" t="n">
        <v>6.4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19719-2019</t>
        </is>
      </c>
      <c r="B14" s="1" t="n">
        <v>43566</v>
      </c>
      <c r="C14" s="1" t="n">
        <v>45837</v>
      </c>
      <c r="D14" t="inlineStr">
        <is>
          <t>VÄSTRA GÖTALANDS LÄN</t>
        </is>
      </c>
      <c r="E14" t="inlineStr">
        <is>
          <t>TROLLHÄTTAN</t>
        </is>
      </c>
      <c r="G14" t="n">
        <v>0.2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21064-2019</t>
        </is>
      </c>
      <c r="B15" s="1" t="n">
        <v>43578</v>
      </c>
      <c r="C15" s="1" t="n">
        <v>45837</v>
      </c>
      <c r="D15" t="inlineStr">
        <is>
          <t>VÄSTRA GÖTALANDS LÄN</t>
        </is>
      </c>
      <c r="E15" t="inlineStr">
        <is>
          <t>TROLLHÄTTAN</t>
        </is>
      </c>
      <c r="G15" t="n">
        <v>0.8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24312-2019</t>
        </is>
      </c>
      <c r="B16" s="1" t="n">
        <v>43599</v>
      </c>
      <c r="C16" s="1" t="n">
        <v>45837</v>
      </c>
      <c r="D16" t="inlineStr">
        <is>
          <t>VÄSTRA GÖTALANDS LÄN</t>
        </is>
      </c>
      <c r="E16" t="inlineStr">
        <is>
          <t>TROLLHÄTTAN</t>
        </is>
      </c>
      <c r="G16" t="n">
        <v>1.9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24458-2019</t>
        </is>
      </c>
      <c r="B17" s="1" t="n">
        <v>43600</v>
      </c>
      <c r="C17" s="1" t="n">
        <v>45837</v>
      </c>
      <c r="D17" t="inlineStr">
        <is>
          <t>VÄSTRA GÖTALANDS LÄN</t>
        </is>
      </c>
      <c r="E17" t="inlineStr">
        <is>
          <t>TROLLHÄTTAN</t>
        </is>
      </c>
      <c r="G17" t="n">
        <v>1.7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24675-2019</t>
        </is>
      </c>
      <c r="B18" s="1" t="n">
        <v>43601</v>
      </c>
      <c r="C18" s="1" t="n">
        <v>45837</v>
      </c>
      <c r="D18" t="inlineStr">
        <is>
          <t>VÄSTRA GÖTALANDS LÄN</t>
        </is>
      </c>
      <c r="E18" t="inlineStr">
        <is>
          <t>TROLLHÄTTAN</t>
        </is>
      </c>
      <c r="G18" t="n">
        <v>1.6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27897-2019</t>
        </is>
      </c>
      <c r="B19" s="1" t="n">
        <v>43612</v>
      </c>
      <c r="C19" s="1" t="n">
        <v>45837</v>
      </c>
      <c r="D19" t="inlineStr">
        <is>
          <t>VÄSTRA GÖTALANDS LÄN</t>
        </is>
      </c>
      <c r="E19" t="inlineStr">
        <is>
          <t>TROLLHÄTTAN</t>
        </is>
      </c>
      <c r="G19" t="n">
        <v>17.6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27481-2019</t>
        </is>
      </c>
      <c r="B20" s="1" t="n">
        <v>43619</v>
      </c>
      <c r="C20" s="1" t="n">
        <v>45837</v>
      </c>
      <c r="D20" t="inlineStr">
        <is>
          <t>VÄSTRA GÖTALANDS LÄN</t>
        </is>
      </c>
      <c r="E20" t="inlineStr">
        <is>
          <t>TROLLHÄTTAN</t>
        </is>
      </c>
      <c r="G20" t="n">
        <v>5.4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33677-2019</t>
        </is>
      </c>
      <c r="B21" s="1" t="n">
        <v>43651</v>
      </c>
      <c r="C21" s="1" t="n">
        <v>45837</v>
      </c>
      <c r="D21" t="inlineStr">
        <is>
          <t>VÄSTRA GÖTALANDS LÄN</t>
        </is>
      </c>
      <c r="E21" t="inlineStr">
        <is>
          <t>TROLLHÄTTAN</t>
        </is>
      </c>
      <c r="G21" t="n">
        <v>0.9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37864-2019</t>
        </is>
      </c>
      <c r="B22" s="1" t="n">
        <v>43682</v>
      </c>
      <c r="C22" s="1" t="n">
        <v>45837</v>
      </c>
      <c r="D22" t="inlineStr">
        <is>
          <t>VÄSTRA GÖTALANDS LÄN</t>
        </is>
      </c>
      <c r="E22" t="inlineStr">
        <is>
          <t>TROLLHÄTTAN</t>
        </is>
      </c>
      <c r="G22" t="n">
        <v>4.9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40106-2019</t>
        </is>
      </c>
      <c r="B23" s="1" t="n">
        <v>43693</v>
      </c>
      <c r="C23" s="1" t="n">
        <v>45837</v>
      </c>
      <c r="D23" t="inlineStr">
        <is>
          <t>VÄSTRA GÖTALANDS LÄN</t>
        </is>
      </c>
      <c r="E23" t="inlineStr">
        <is>
          <t>TROLLHÄTTAN</t>
        </is>
      </c>
      <c r="F23" t="inlineStr">
        <is>
          <t>Kommuner</t>
        </is>
      </c>
      <c r="G23" t="n">
        <v>1.2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42363-2019</t>
        </is>
      </c>
      <c r="B24" s="1" t="n">
        <v>43703</v>
      </c>
      <c r="C24" s="1" t="n">
        <v>45837</v>
      </c>
      <c r="D24" t="inlineStr">
        <is>
          <t>VÄSTRA GÖTALANDS LÄN</t>
        </is>
      </c>
      <c r="E24" t="inlineStr">
        <is>
          <t>TROLLHÄTTAN</t>
        </is>
      </c>
      <c r="G24" t="n">
        <v>1.1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42582-2019</t>
        </is>
      </c>
      <c r="B25" s="1" t="n">
        <v>43704</v>
      </c>
      <c r="C25" s="1" t="n">
        <v>45837</v>
      </c>
      <c r="D25" t="inlineStr">
        <is>
          <t>VÄSTRA GÖTALANDS LÄN</t>
        </is>
      </c>
      <c r="E25" t="inlineStr">
        <is>
          <t>TROLLHÄTTAN</t>
        </is>
      </c>
      <c r="G25" t="n">
        <v>1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43233-2019</t>
        </is>
      </c>
      <c r="B26" s="1" t="n">
        <v>43706</v>
      </c>
      <c r="C26" s="1" t="n">
        <v>45837</v>
      </c>
      <c r="D26" t="inlineStr">
        <is>
          <t>VÄSTRA GÖTALANDS LÄN</t>
        </is>
      </c>
      <c r="E26" t="inlineStr">
        <is>
          <t>TROLLHÄTTAN</t>
        </is>
      </c>
      <c r="G26" t="n">
        <v>1.4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47364-2019</t>
        </is>
      </c>
      <c r="B27" s="1" t="n">
        <v>43721</v>
      </c>
      <c r="C27" s="1" t="n">
        <v>45837</v>
      </c>
      <c r="D27" t="inlineStr">
        <is>
          <t>VÄSTRA GÖTALANDS LÄN</t>
        </is>
      </c>
      <c r="E27" t="inlineStr">
        <is>
          <t>TROLLHÄTTAN</t>
        </is>
      </c>
      <c r="G27" t="n">
        <v>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48512-2019</t>
        </is>
      </c>
      <c r="B28" s="1" t="n">
        <v>43726</v>
      </c>
      <c r="C28" s="1" t="n">
        <v>45837</v>
      </c>
      <c r="D28" t="inlineStr">
        <is>
          <t>VÄSTRA GÖTALANDS LÄN</t>
        </is>
      </c>
      <c r="E28" t="inlineStr">
        <is>
          <t>TROLLHÄTTAN</t>
        </is>
      </c>
      <c r="G28" t="n">
        <v>4.9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50661-2019</t>
        </is>
      </c>
      <c r="B29" s="1" t="n">
        <v>43737</v>
      </c>
      <c r="C29" s="1" t="n">
        <v>45837</v>
      </c>
      <c r="D29" t="inlineStr">
        <is>
          <t>VÄSTRA GÖTALANDS LÄN</t>
        </is>
      </c>
      <c r="E29" t="inlineStr">
        <is>
          <t>TROLLHÄTTAN</t>
        </is>
      </c>
      <c r="G29" t="n">
        <v>4.8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50658-2019</t>
        </is>
      </c>
      <c r="B30" s="1" t="n">
        <v>43737</v>
      </c>
      <c r="C30" s="1" t="n">
        <v>45837</v>
      </c>
      <c r="D30" t="inlineStr">
        <is>
          <t>VÄSTRA GÖTALANDS LÄN</t>
        </is>
      </c>
      <c r="E30" t="inlineStr">
        <is>
          <t>TROLLHÄTTAN</t>
        </is>
      </c>
      <c r="G30" t="n">
        <v>0.8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51157-2019</t>
        </is>
      </c>
      <c r="B31" s="1" t="n">
        <v>43739</v>
      </c>
      <c r="C31" s="1" t="n">
        <v>45837</v>
      </c>
      <c r="D31" t="inlineStr">
        <is>
          <t>VÄSTRA GÖTALANDS LÄN</t>
        </is>
      </c>
      <c r="E31" t="inlineStr">
        <is>
          <t>TROLLHÄTTAN</t>
        </is>
      </c>
      <c r="G31" t="n">
        <v>6.3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52277-2019</t>
        </is>
      </c>
      <c r="B32" s="1" t="n">
        <v>43744</v>
      </c>
      <c r="C32" s="1" t="n">
        <v>45837</v>
      </c>
      <c r="D32" t="inlineStr">
        <is>
          <t>VÄSTRA GÖTALANDS LÄN</t>
        </is>
      </c>
      <c r="E32" t="inlineStr">
        <is>
          <t>TROLLHÄTTAN</t>
        </is>
      </c>
      <c r="G32" t="n">
        <v>0.8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52899-2019</t>
        </is>
      </c>
      <c r="B33" s="1" t="n">
        <v>43746</v>
      </c>
      <c r="C33" s="1" t="n">
        <v>45837</v>
      </c>
      <c r="D33" t="inlineStr">
        <is>
          <t>VÄSTRA GÖTALANDS LÄN</t>
        </is>
      </c>
      <c r="E33" t="inlineStr">
        <is>
          <t>TROLLHÄTTAN</t>
        </is>
      </c>
      <c r="G33" t="n">
        <v>0.3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54488-2019</t>
        </is>
      </c>
      <c r="B34" s="1" t="n">
        <v>43754</v>
      </c>
      <c r="C34" s="1" t="n">
        <v>45837</v>
      </c>
      <c r="D34" t="inlineStr">
        <is>
          <t>VÄSTRA GÖTALANDS LÄN</t>
        </is>
      </c>
      <c r="E34" t="inlineStr">
        <is>
          <t>TROLLHÄTTAN</t>
        </is>
      </c>
      <c r="G34" t="n">
        <v>1.2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54487-2019</t>
        </is>
      </c>
      <c r="B35" s="1" t="n">
        <v>43754</v>
      </c>
      <c r="C35" s="1" t="n">
        <v>45837</v>
      </c>
      <c r="D35" t="inlineStr">
        <is>
          <t>VÄSTRA GÖTALANDS LÄN</t>
        </is>
      </c>
      <c r="E35" t="inlineStr">
        <is>
          <t>TROLLHÄTTAN</t>
        </is>
      </c>
      <c r="G35" t="n">
        <v>1.3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55224-2019</t>
        </is>
      </c>
      <c r="B36" s="1" t="n">
        <v>43756</v>
      </c>
      <c r="C36" s="1" t="n">
        <v>45837</v>
      </c>
      <c r="D36" t="inlineStr">
        <is>
          <t>VÄSTRA GÖTALANDS LÄN</t>
        </is>
      </c>
      <c r="E36" t="inlineStr">
        <is>
          <t>TROLLHÄTTAN</t>
        </is>
      </c>
      <c r="G36" t="n">
        <v>1.6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55226-2019</t>
        </is>
      </c>
      <c r="B37" s="1" t="n">
        <v>43756</v>
      </c>
      <c r="C37" s="1" t="n">
        <v>45837</v>
      </c>
      <c r="D37" t="inlineStr">
        <is>
          <t>VÄSTRA GÖTALANDS LÄN</t>
        </is>
      </c>
      <c r="E37" t="inlineStr">
        <is>
          <t>TROLLHÄTTAN</t>
        </is>
      </c>
      <c r="G37" t="n">
        <v>3.7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58462-2019</t>
        </is>
      </c>
      <c r="B38" s="1" t="n">
        <v>43773</v>
      </c>
      <c r="C38" s="1" t="n">
        <v>45837</v>
      </c>
      <c r="D38" t="inlineStr">
        <is>
          <t>VÄSTRA GÖTALANDS LÄN</t>
        </is>
      </c>
      <c r="E38" t="inlineStr">
        <is>
          <t>TROLLHÄTTAN</t>
        </is>
      </c>
      <c r="G38" t="n">
        <v>6.7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58998-2019</t>
        </is>
      </c>
      <c r="B39" s="1" t="n">
        <v>43774</v>
      </c>
      <c r="C39" s="1" t="n">
        <v>45837</v>
      </c>
      <c r="D39" t="inlineStr">
        <is>
          <t>VÄSTRA GÖTALANDS LÄN</t>
        </is>
      </c>
      <c r="E39" t="inlineStr">
        <is>
          <t>TROLLHÄTTAN</t>
        </is>
      </c>
      <c r="G39" t="n">
        <v>10.4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62749-2019</t>
        </is>
      </c>
      <c r="B40" s="1" t="n">
        <v>43790</v>
      </c>
      <c r="C40" s="1" t="n">
        <v>45837</v>
      </c>
      <c r="D40" t="inlineStr">
        <is>
          <t>VÄSTRA GÖTALANDS LÄN</t>
        </is>
      </c>
      <c r="E40" t="inlineStr">
        <is>
          <t>TROLLHÄTTAN</t>
        </is>
      </c>
      <c r="G40" t="n">
        <v>1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62949-2019</t>
        </is>
      </c>
      <c r="B41" s="1" t="n">
        <v>43790</v>
      </c>
      <c r="C41" s="1" t="n">
        <v>45837</v>
      </c>
      <c r="D41" t="inlineStr">
        <is>
          <t>VÄSTRA GÖTALANDS LÄN</t>
        </is>
      </c>
      <c r="E41" t="inlineStr">
        <is>
          <t>TROLLHÄTTAN</t>
        </is>
      </c>
      <c r="G41" t="n">
        <v>2.1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63962-2019</t>
        </is>
      </c>
      <c r="B42" s="1" t="n">
        <v>43796</v>
      </c>
      <c r="C42" s="1" t="n">
        <v>45837</v>
      </c>
      <c r="D42" t="inlineStr">
        <is>
          <t>VÄSTRA GÖTALANDS LÄN</t>
        </is>
      </c>
      <c r="E42" t="inlineStr">
        <is>
          <t>TROLLHÄTTAN</t>
        </is>
      </c>
      <c r="F42" t="inlineStr">
        <is>
          <t>Kommuner</t>
        </is>
      </c>
      <c r="G42" t="n">
        <v>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64381-2019</t>
        </is>
      </c>
      <c r="B43" s="1" t="n">
        <v>43797</v>
      </c>
      <c r="C43" s="1" t="n">
        <v>45837</v>
      </c>
      <c r="D43" t="inlineStr">
        <is>
          <t>VÄSTRA GÖTALANDS LÄN</t>
        </is>
      </c>
      <c r="E43" t="inlineStr">
        <is>
          <t>TROLLHÄTTAN</t>
        </is>
      </c>
      <c r="G43" t="n">
        <v>4.1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66678-2019</t>
        </is>
      </c>
      <c r="B44" s="1" t="n">
        <v>43809</v>
      </c>
      <c r="C44" s="1" t="n">
        <v>45837</v>
      </c>
      <c r="D44" t="inlineStr">
        <is>
          <t>VÄSTRA GÖTALANDS LÄN</t>
        </is>
      </c>
      <c r="E44" t="inlineStr">
        <is>
          <t>TROLLHÄTTAN</t>
        </is>
      </c>
      <c r="G44" t="n">
        <v>3.3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67629-2019</t>
        </is>
      </c>
      <c r="B45" s="1" t="n">
        <v>43815</v>
      </c>
      <c r="C45" s="1" t="n">
        <v>45837</v>
      </c>
      <c r="D45" t="inlineStr">
        <is>
          <t>VÄSTRA GÖTALANDS LÄN</t>
        </is>
      </c>
      <c r="E45" t="inlineStr">
        <is>
          <t>TROLLHÄTTAN</t>
        </is>
      </c>
      <c r="F45" t="inlineStr">
        <is>
          <t>Kommuner</t>
        </is>
      </c>
      <c r="G45" t="n">
        <v>2.1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2049-2020</t>
        </is>
      </c>
      <c r="B46" s="1" t="n">
        <v>43845</v>
      </c>
      <c r="C46" s="1" t="n">
        <v>45837</v>
      </c>
      <c r="D46" t="inlineStr">
        <is>
          <t>VÄSTRA GÖTALANDS LÄN</t>
        </is>
      </c>
      <c r="E46" t="inlineStr">
        <is>
          <t>TROLLHÄTTAN</t>
        </is>
      </c>
      <c r="G46" t="n">
        <v>0.4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2239-2020</t>
        </is>
      </c>
      <c r="B47" s="1" t="n">
        <v>43846</v>
      </c>
      <c r="C47" s="1" t="n">
        <v>45837</v>
      </c>
      <c r="D47" t="inlineStr">
        <is>
          <t>VÄSTRA GÖTALANDS LÄN</t>
        </is>
      </c>
      <c r="E47" t="inlineStr">
        <is>
          <t>TROLLHÄTTAN</t>
        </is>
      </c>
      <c r="G47" t="n">
        <v>1.8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3634-2020</t>
        </is>
      </c>
      <c r="B48" s="1" t="n">
        <v>43853</v>
      </c>
      <c r="C48" s="1" t="n">
        <v>45837</v>
      </c>
      <c r="D48" t="inlineStr">
        <is>
          <t>VÄSTRA GÖTALANDS LÄN</t>
        </is>
      </c>
      <c r="E48" t="inlineStr">
        <is>
          <t>TROLLHÄTTAN</t>
        </is>
      </c>
      <c r="G48" t="n">
        <v>5.7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5624-2020</t>
        </is>
      </c>
      <c r="B49" s="1" t="n">
        <v>43861</v>
      </c>
      <c r="C49" s="1" t="n">
        <v>45837</v>
      </c>
      <c r="D49" t="inlineStr">
        <is>
          <t>VÄSTRA GÖTALANDS LÄN</t>
        </is>
      </c>
      <c r="E49" t="inlineStr">
        <is>
          <t>TROLLHÄTTAN</t>
        </is>
      </c>
      <c r="F49" t="inlineStr">
        <is>
          <t>Kommuner</t>
        </is>
      </c>
      <c r="G49" t="n">
        <v>1.8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5625-2020</t>
        </is>
      </c>
      <c r="B50" s="1" t="n">
        <v>43861</v>
      </c>
      <c r="C50" s="1" t="n">
        <v>45837</v>
      </c>
      <c r="D50" t="inlineStr">
        <is>
          <t>VÄSTRA GÖTALANDS LÄN</t>
        </is>
      </c>
      <c r="E50" t="inlineStr">
        <is>
          <t>TROLLHÄTTAN</t>
        </is>
      </c>
      <c r="F50" t="inlineStr">
        <is>
          <t>Kommuner</t>
        </is>
      </c>
      <c r="G50" t="n">
        <v>1.2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6362-2020</t>
        </is>
      </c>
      <c r="B51" s="1" t="n">
        <v>43866</v>
      </c>
      <c r="C51" s="1" t="n">
        <v>45837</v>
      </c>
      <c r="D51" t="inlineStr">
        <is>
          <t>VÄSTRA GÖTALANDS LÄN</t>
        </is>
      </c>
      <c r="E51" t="inlineStr">
        <is>
          <t>TROLLHÄTTAN</t>
        </is>
      </c>
      <c r="G51" t="n">
        <v>1.9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6849-2020</t>
        </is>
      </c>
      <c r="B52" s="1" t="n">
        <v>43868</v>
      </c>
      <c r="C52" s="1" t="n">
        <v>45837</v>
      </c>
      <c r="D52" t="inlineStr">
        <is>
          <t>VÄSTRA GÖTALANDS LÄN</t>
        </is>
      </c>
      <c r="E52" t="inlineStr">
        <is>
          <t>TROLLHÄTTAN</t>
        </is>
      </c>
      <c r="G52" t="n">
        <v>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7437-2020</t>
        </is>
      </c>
      <c r="B53" s="1" t="n">
        <v>43871</v>
      </c>
      <c r="C53" s="1" t="n">
        <v>45837</v>
      </c>
      <c r="D53" t="inlineStr">
        <is>
          <t>VÄSTRA GÖTALANDS LÄN</t>
        </is>
      </c>
      <c r="E53" t="inlineStr">
        <is>
          <t>TROLLHÄTTAN</t>
        </is>
      </c>
      <c r="G53" t="n">
        <v>1.8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8140-2020</t>
        </is>
      </c>
      <c r="B54" s="1" t="n">
        <v>43874</v>
      </c>
      <c r="C54" s="1" t="n">
        <v>45837</v>
      </c>
      <c r="D54" t="inlineStr">
        <is>
          <t>VÄSTRA GÖTALANDS LÄN</t>
        </is>
      </c>
      <c r="E54" t="inlineStr">
        <is>
          <t>TROLLHÄTTAN</t>
        </is>
      </c>
      <c r="G54" t="n">
        <v>2.8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8965-2020</t>
        </is>
      </c>
      <c r="B55" s="1" t="n">
        <v>43878</v>
      </c>
      <c r="C55" s="1" t="n">
        <v>45837</v>
      </c>
      <c r="D55" t="inlineStr">
        <is>
          <t>VÄSTRA GÖTALANDS LÄN</t>
        </is>
      </c>
      <c r="E55" t="inlineStr">
        <is>
          <t>TROLLHÄTTAN</t>
        </is>
      </c>
      <c r="G55" t="n">
        <v>2.8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14248-2020</t>
        </is>
      </c>
      <c r="B56" s="1" t="n">
        <v>43907</v>
      </c>
      <c r="C56" s="1" t="n">
        <v>45837</v>
      </c>
      <c r="D56" t="inlineStr">
        <is>
          <t>VÄSTRA GÖTALANDS LÄN</t>
        </is>
      </c>
      <c r="E56" t="inlineStr">
        <is>
          <t>TROLLHÄTTAN</t>
        </is>
      </c>
      <c r="G56" t="n">
        <v>1.9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14648-2020</t>
        </is>
      </c>
      <c r="B57" s="1" t="n">
        <v>43909</v>
      </c>
      <c r="C57" s="1" t="n">
        <v>45837</v>
      </c>
      <c r="D57" t="inlineStr">
        <is>
          <t>VÄSTRA GÖTALANDS LÄN</t>
        </is>
      </c>
      <c r="E57" t="inlineStr">
        <is>
          <t>TROLLHÄTTAN</t>
        </is>
      </c>
      <c r="G57" t="n">
        <v>2.4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19017-2020</t>
        </is>
      </c>
      <c r="B58" s="1" t="n">
        <v>43936</v>
      </c>
      <c r="C58" s="1" t="n">
        <v>45837</v>
      </c>
      <c r="D58" t="inlineStr">
        <is>
          <t>VÄSTRA GÖTALANDS LÄN</t>
        </is>
      </c>
      <c r="E58" t="inlineStr">
        <is>
          <t>TROLLHÄTTAN</t>
        </is>
      </c>
      <c r="G58" t="n">
        <v>3.7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19884-2020</t>
        </is>
      </c>
      <c r="B59" s="1" t="n">
        <v>43942</v>
      </c>
      <c r="C59" s="1" t="n">
        <v>45837</v>
      </c>
      <c r="D59" t="inlineStr">
        <is>
          <t>VÄSTRA GÖTALANDS LÄN</t>
        </is>
      </c>
      <c r="E59" t="inlineStr">
        <is>
          <t>TROLLHÄTTAN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27601-2020</t>
        </is>
      </c>
      <c r="B60" s="1" t="n">
        <v>43993</v>
      </c>
      <c r="C60" s="1" t="n">
        <v>45837</v>
      </c>
      <c r="D60" t="inlineStr">
        <is>
          <t>VÄSTRA GÖTALANDS LÄN</t>
        </is>
      </c>
      <c r="E60" t="inlineStr">
        <is>
          <t>TROLLHÄTTAN</t>
        </is>
      </c>
      <c r="G60" t="n">
        <v>2.2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29141-2020</t>
        </is>
      </c>
      <c r="B61" s="1" t="n">
        <v>44004</v>
      </c>
      <c r="C61" s="1" t="n">
        <v>45837</v>
      </c>
      <c r="D61" t="inlineStr">
        <is>
          <t>VÄSTRA GÖTALANDS LÄN</t>
        </is>
      </c>
      <c r="E61" t="inlineStr">
        <is>
          <t>TROLLHÄTTAN</t>
        </is>
      </c>
      <c r="G61" t="n">
        <v>3.2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30984-2020</t>
        </is>
      </c>
      <c r="B62" s="1" t="n">
        <v>44011</v>
      </c>
      <c r="C62" s="1" t="n">
        <v>45837</v>
      </c>
      <c r="D62" t="inlineStr">
        <is>
          <t>VÄSTRA GÖTALANDS LÄN</t>
        </is>
      </c>
      <c r="E62" t="inlineStr">
        <is>
          <t>TROLLHÄTTAN</t>
        </is>
      </c>
      <c r="G62" t="n">
        <v>0.5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32868-2020</t>
        </is>
      </c>
      <c r="B63" s="1" t="n">
        <v>44020</v>
      </c>
      <c r="C63" s="1" t="n">
        <v>45837</v>
      </c>
      <c r="D63" t="inlineStr">
        <is>
          <t>VÄSTRA GÖTALANDS LÄN</t>
        </is>
      </c>
      <c r="E63" t="inlineStr">
        <is>
          <t>TROLLHÄTTAN</t>
        </is>
      </c>
      <c r="G63" t="n">
        <v>14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35662-2020</t>
        </is>
      </c>
      <c r="B64" s="1" t="n">
        <v>44046</v>
      </c>
      <c r="C64" s="1" t="n">
        <v>45837</v>
      </c>
      <c r="D64" t="inlineStr">
        <is>
          <t>VÄSTRA GÖTALANDS LÄN</t>
        </is>
      </c>
      <c r="E64" t="inlineStr">
        <is>
          <t>TROLLHÄTTAN</t>
        </is>
      </c>
      <c r="G64" t="n">
        <v>0.6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37913-2020</t>
        </is>
      </c>
      <c r="B65" s="1" t="n">
        <v>44057</v>
      </c>
      <c r="C65" s="1" t="n">
        <v>45837</v>
      </c>
      <c r="D65" t="inlineStr">
        <is>
          <t>VÄSTRA GÖTALANDS LÄN</t>
        </is>
      </c>
      <c r="E65" t="inlineStr">
        <is>
          <t>TROLLHÄTTAN</t>
        </is>
      </c>
      <c r="G65" t="n">
        <v>6.2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45926-2020</t>
        </is>
      </c>
      <c r="B66" s="1" t="n">
        <v>44088</v>
      </c>
      <c r="C66" s="1" t="n">
        <v>45837</v>
      </c>
      <c r="D66" t="inlineStr">
        <is>
          <t>VÄSTRA GÖTALANDS LÄN</t>
        </is>
      </c>
      <c r="E66" t="inlineStr">
        <is>
          <t>TROLLHÄTTAN</t>
        </is>
      </c>
      <c r="G66" t="n">
        <v>1.2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45608-2020</t>
        </is>
      </c>
      <c r="B67" s="1" t="n">
        <v>44090</v>
      </c>
      <c r="C67" s="1" t="n">
        <v>45837</v>
      </c>
      <c r="D67" t="inlineStr">
        <is>
          <t>VÄSTRA GÖTALANDS LÄN</t>
        </is>
      </c>
      <c r="E67" t="inlineStr">
        <is>
          <t>TROLLHÄTTAN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46024-2020</t>
        </is>
      </c>
      <c r="B68" s="1" t="n">
        <v>44091</v>
      </c>
      <c r="C68" s="1" t="n">
        <v>45837</v>
      </c>
      <c r="D68" t="inlineStr">
        <is>
          <t>VÄSTRA GÖTALANDS LÄN</t>
        </is>
      </c>
      <c r="E68" t="inlineStr">
        <is>
          <t>TROLLHÄTTAN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47888-2020</t>
        </is>
      </c>
      <c r="B69" s="1" t="n">
        <v>44099</v>
      </c>
      <c r="C69" s="1" t="n">
        <v>45837</v>
      </c>
      <c r="D69" t="inlineStr">
        <is>
          <t>VÄSTRA GÖTALANDS LÄN</t>
        </is>
      </c>
      <c r="E69" t="inlineStr">
        <is>
          <t>TROLLHÄTTAN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48398-2020</t>
        </is>
      </c>
      <c r="B70" s="1" t="n">
        <v>44102</v>
      </c>
      <c r="C70" s="1" t="n">
        <v>45837</v>
      </c>
      <c r="D70" t="inlineStr">
        <is>
          <t>VÄSTRA GÖTALANDS LÄN</t>
        </is>
      </c>
      <c r="E70" t="inlineStr">
        <is>
          <t>TROLLHÄTTAN</t>
        </is>
      </c>
      <c r="G70" t="n">
        <v>0.9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53749-2020</t>
        </is>
      </c>
      <c r="B71" s="1" t="n">
        <v>44124</v>
      </c>
      <c r="C71" s="1" t="n">
        <v>45837</v>
      </c>
      <c r="D71" t="inlineStr">
        <is>
          <t>VÄSTRA GÖTALANDS LÄN</t>
        </is>
      </c>
      <c r="E71" t="inlineStr">
        <is>
          <t>TROLLHÄTTAN</t>
        </is>
      </c>
      <c r="G71" t="n">
        <v>2.8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57050-2020</t>
        </is>
      </c>
      <c r="B72" s="1" t="n">
        <v>44138</v>
      </c>
      <c r="C72" s="1" t="n">
        <v>45837</v>
      </c>
      <c r="D72" t="inlineStr">
        <is>
          <t>VÄSTRA GÖTALANDS LÄN</t>
        </is>
      </c>
      <c r="E72" t="inlineStr">
        <is>
          <t>TROLLHÄTTAN</t>
        </is>
      </c>
      <c r="G72" t="n">
        <v>1.1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57628-2020</t>
        </is>
      </c>
      <c r="B73" s="1" t="n">
        <v>44140</v>
      </c>
      <c r="C73" s="1" t="n">
        <v>45837</v>
      </c>
      <c r="D73" t="inlineStr">
        <is>
          <t>VÄSTRA GÖTALANDS LÄN</t>
        </is>
      </c>
      <c r="E73" t="inlineStr">
        <is>
          <t>TROLLHÄTTAN</t>
        </is>
      </c>
      <c r="G73" t="n">
        <v>1.5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59958-2020</t>
        </is>
      </c>
      <c r="B74" s="1" t="n">
        <v>44151</v>
      </c>
      <c r="C74" s="1" t="n">
        <v>45837</v>
      </c>
      <c r="D74" t="inlineStr">
        <is>
          <t>VÄSTRA GÖTALANDS LÄN</t>
        </is>
      </c>
      <c r="E74" t="inlineStr">
        <is>
          <t>TROLLHÄTTAN</t>
        </is>
      </c>
      <c r="G74" t="n">
        <v>0.5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60310-2020</t>
        </is>
      </c>
      <c r="B75" s="1" t="n">
        <v>44152</v>
      </c>
      <c r="C75" s="1" t="n">
        <v>45837</v>
      </c>
      <c r="D75" t="inlineStr">
        <is>
          <t>VÄSTRA GÖTALANDS LÄN</t>
        </is>
      </c>
      <c r="E75" t="inlineStr">
        <is>
          <t>TROLLHÄTTAN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68488-2020</t>
        </is>
      </c>
      <c r="B76" s="1" t="n">
        <v>44186</v>
      </c>
      <c r="C76" s="1" t="n">
        <v>45837</v>
      </c>
      <c r="D76" t="inlineStr">
        <is>
          <t>VÄSTRA GÖTALANDS LÄN</t>
        </is>
      </c>
      <c r="E76" t="inlineStr">
        <is>
          <t>TROLLHÄTTAN</t>
        </is>
      </c>
      <c r="G76" t="n">
        <v>7.2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69554-2020</t>
        </is>
      </c>
      <c r="B77" s="1" t="n">
        <v>44194</v>
      </c>
      <c r="C77" s="1" t="n">
        <v>45837</v>
      </c>
      <c r="D77" t="inlineStr">
        <is>
          <t>VÄSTRA GÖTALANDS LÄN</t>
        </is>
      </c>
      <c r="E77" t="inlineStr">
        <is>
          <t>TROLLHÄTTAN</t>
        </is>
      </c>
      <c r="G77" t="n">
        <v>3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2982-2021</t>
        </is>
      </c>
      <c r="B78" s="1" t="n">
        <v>44214</v>
      </c>
      <c r="C78" s="1" t="n">
        <v>45837</v>
      </c>
      <c r="D78" t="inlineStr">
        <is>
          <t>VÄSTRA GÖTALANDS LÄN</t>
        </is>
      </c>
      <c r="E78" t="inlineStr">
        <is>
          <t>TROLLHÄTTAN</t>
        </is>
      </c>
      <c r="F78" t="inlineStr">
        <is>
          <t>Kyrkan</t>
        </is>
      </c>
      <c r="G78" t="n">
        <v>1.9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2979-2021</t>
        </is>
      </c>
      <c r="B79" s="1" t="n">
        <v>44214</v>
      </c>
      <c r="C79" s="1" t="n">
        <v>45837</v>
      </c>
      <c r="D79" t="inlineStr">
        <is>
          <t>VÄSTRA GÖTALANDS LÄN</t>
        </is>
      </c>
      <c r="E79" t="inlineStr">
        <is>
          <t>TROLLHÄTTAN</t>
        </is>
      </c>
      <c r="F79" t="inlineStr">
        <is>
          <t>Kyrkan</t>
        </is>
      </c>
      <c r="G79" t="n">
        <v>3.5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3897-2021</t>
        </is>
      </c>
      <c r="B80" s="1" t="n">
        <v>44217</v>
      </c>
      <c r="C80" s="1" t="n">
        <v>45837</v>
      </c>
      <c r="D80" t="inlineStr">
        <is>
          <t>VÄSTRA GÖTALANDS LÄN</t>
        </is>
      </c>
      <c r="E80" t="inlineStr">
        <is>
          <t>TROLLHÄTTAN</t>
        </is>
      </c>
      <c r="G80" t="n">
        <v>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4544-2021</t>
        </is>
      </c>
      <c r="B81" s="1" t="n">
        <v>44224</v>
      </c>
      <c r="C81" s="1" t="n">
        <v>45837</v>
      </c>
      <c r="D81" t="inlineStr">
        <is>
          <t>VÄSTRA GÖTALANDS LÄN</t>
        </is>
      </c>
      <c r="E81" t="inlineStr">
        <is>
          <t>TROLLHÄTTAN</t>
        </is>
      </c>
      <c r="G81" t="n">
        <v>2.2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4766-2021</t>
        </is>
      </c>
      <c r="B82" s="1" t="n">
        <v>44225</v>
      </c>
      <c r="C82" s="1" t="n">
        <v>45837</v>
      </c>
      <c r="D82" t="inlineStr">
        <is>
          <t>VÄSTRA GÖTALANDS LÄN</t>
        </is>
      </c>
      <c r="E82" t="inlineStr">
        <is>
          <t>TROLLHÄTTAN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4765-2021</t>
        </is>
      </c>
      <c r="B83" s="1" t="n">
        <v>44225</v>
      </c>
      <c r="C83" s="1" t="n">
        <v>45837</v>
      </c>
      <c r="D83" t="inlineStr">
        <is>
          <t>VÄSTRA GÖTALANDS LÄN</t>
        </is>
      </c>
      <c r="E83" t="inlineStr">
        <is>
          <t>TROLLHÄTTAN</t>
        </is>
      </c>
      <c r="G83" t="n">
        <v>1.4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5168-2021</t>
        </is>
      </c>
      <c r="B84" s="1" t="n">
        <v>44228</v>
      </c>
      <c r="C84" s="1" t="n">
        <v>45837</v>
      </c>
      <c r="D84" t="inlineStr">
        <is>
          <t>VÄSTRA GÖTALANDS LÄN</t>
        </is>
      </c>
      <c r="E84" t="inlineStr">
        <is>
          <t>TROLLHÄTTAN</t>
        </is>
      </c>
      <c r="G84" t="n">
        <v>3.2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5416-2021</t>
        </is>
      </c>
      <c r="B85" s="1" t="n">
        <v>44229</v>
      </c>
      <c r="C85" s="1" t="n">
        <v>45837</v>
      </c>
      <c r="D85" t="inlineStr">
        <is>
          <t>VÄSTRA GÖTALANDS LÄN</t>
        </is>
      </c>
      <c r="E85" t="inlineStr">
        <is>
          <t>TROLLHÄTTAN</t>
        </is>
      </c>
      <c r="G85" t="n">
        <v>12.8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6402-2021</t>
        </is>
      </c>
      <c r="B86" s="1" t="n">
        <v>44235</v>
      </c>
      <c r="C86" s="1" t="n">
        <v>45837</v>
      </c>
      <c r="D86" t="inlineStr">
        <is>
          <t>VÄSTRA GÖTALANDS LÄN</t>
        </is>
      </c>
      <c r="E86" t="inlineStr">
        <is>
          <t>TROLLHÄTTAN</t>
        </is>
      </c>
      <c r="G86" t="n">
        <v>1.7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7383-2021</t>
        </is>
      </c>
      <c r="B87" s="1" t="n">
        <v>44239</v>
      </c>
      <c r="C87" s="1" t="n">
        <v>45837</v>
      </c>
      <c r="D87" t="inlineStr">
        <is>
          <t>VÄSTRA GÖTALANDS LÄN</t>
        </is>
      </c>
      <c r="E87" t="inlineStr">
        <is>
          <t>TROLLHÄTTAN</t>
        </is>
      </c>
      <c r="G87" t="n">
        <v>2.4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10879-2021</t>
        </is>
      </c>
      <c r="B88" s="1" t="n">
        <v>44259</v>
      </c>
      <c r="C88" s="1" t="n">
        <v>45837</v>
      </c>
      <c r="D88" t="inlineStr">
        <is>
          <t>VÄSTRA GÖTALANDS LÄN</t>
        </is>
      </c>
      <c r="E88" t="inlineStr">
        <is>
          <t>TROLLHÄTTAN</t>
        </is>
      </c>
      <c r="G88" t="n">
        <v>2.2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10890-2021</t>
        </is>
      </c>
      <c r="B89" s="1" t="n">
        <v>44259</v>
      </c>
      <c r="C89" s="1" t="n">
        <v>45837</v>
      </c>
      <c r="D89" t="inlineStr">
        <is>
          <t>VÄSTRA GÖTALANDS LÄN</t>
        </is>
      </c>
      <c r="E89" t="inlineStr">
        <is>
          <t>TROLLHÄTTAN</t>
        </is>
      </c>
      <c r="G89" t="n">
        <v>3.4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13530-2021</t>
        </is>
      </c>
      <c r="B90" s="1" t="n">
        <v>44273</v>
      </c>
      <c r="C90" s="1" t="n">
        <v>45837</v>
      </c>
      <c r="D90" t="inlineStr">
        <is>
          <t>VÄSTRA GÖTALANDS LÄN</t>
        </is>
      </c>
      <c r="E90" t="inlineStr">
        <is>
          <t>TROLLHÄTTAN</t>
        </is>
      </c>
      <c r="G90" t="n">
        <v>2.2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14819-2021</t>
        </is>
      </c>
      <c r="B91" s="1" t="n">
        <v>44280</v>
      </c>
      <c r="C91" s="1" t="n">
        <v>45837</v>
      </c>
      <c r="D91" t="inlineStr">
        <is>
          <t>VÄSTRA GÖTALANDS LÄN</t>
        </is>
      </c>
      <c r="E91" t="inlineStr">
        <is>
          <t>TROLLHÄTTAN</t>
        </is>
      </c>
      <c r="G91" t="n">
        <v>0.5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14821-2021</t>
        </is>
      </c>
      <c r="B92" s="1" t="n">
        <v>44280</v>
      </c>
      <c r="C92" s="1" t="n">
        <v>45837</v>
      </c>
      <c r="D92" t="inlineStr">
        <is>
          <t>VÄSTRA GÖTALANDS LÄN</t>
        </is>
      </c>
      <c r="E92" t="inlineStr">
        <is>
          <t>TROLLHÄTTAN</t>
        </is>
      </c>
      <c r="G92" t="n">
        <v>1.6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14820-2021</t>
        </is>
      </c>
      <c r="B93" s="1" t="n">
        <v>44280</v>
      </c>
      <c r="C93" s="1" t="n">
        <v>45837</v>
      </c>
      <c r="D93" t="inlineStr">
        <is>
          <t>VÄSTRA GÖTALANDS LÄN</t>
        </is>
      </c>
      <c r="E93" t="inlineStr">
        <is>
          <t>TROLLHÄTTAN</t>
        </is>
      </c>
      <c r="G93" t="n">
        <v>6.4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14994-2021</t>
        </is>
      </c>
      <c r="B94" s="1" t="n">
        <v>44281</v>
      </c>
      <c r="C94" s="1" t="n">
        <v>45837</v>
      </c>
      <c r="D94" t="inlineStr">
        <is>
          <t>VÄSTRA GÖTALANDS LÄN</t>
        </is>
      </c>
      <c r="E94" t="inlineStr">
        <is>
          <t>TROLLHÄTTAN</t>
        </is>
      </c>
      <c r="G94" t="n">
        <v>6.6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15861-2021</t>
        </is>
      </c>
      <c r="B95" s="1" t="n">
        <v>44286</v>
      </c>
      <c r="C95" s="1" t="n">
        <v>45837</v>
      </c>
      <c r="D95" t="inlineStr">
        <is>
          <t>VÄSTRA GÖTALANDS LÄN</t>
        </is>
      </c>
      <c r="E95" t="inlineStr">
        <is>
          <t>TROLLHÄTTAN</t>
        </is>
      </c>
      <c r="G95" t="n">
        <v>0.4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17322-2021</t>
        </is>
      </c>
      <c r="B96" s="1" t="n">
        <v>44298</v>
      </c>
      <c r="C96" s="1" t="n">
        <v>45837</v>
      </c>
      <c r="D96" t="inlineStr">
        <is>
          <t>VÄSTRA GÖTALANDS LÄN</t>
        </is>
      </c>
      <c r="E96" t="inlineStr">
        <is>
          <t>TROLLHÄTTAN</t>
        </is>
      </c>
      <c r="G96" t="n">
        <v>5.3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17343-2021</t>
        </is>
      </c>
      <c r="B97" s="1" t="n">
        <v>44298</v>
      </c>
      <c r="C97" s="1" t="n">
        <v>45837</v>
      </c>
      <c r="D97" t="inlineStr">
        <is>
          <t>VÄSTRA GÖTALANDS LÄN</t>
        </is>
      </c>
      <c r="E97" t="inlineStr">
        <is>
          <t>TROLLHÄTTAN</t>
        </is>
      </c>
      <c r="G97" t="n">
        <v>0.7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17567-2021</t>
        </is>
      </c>
      <c r="B98" s="1" t="n">
        <v>44299</v>
      </c>
      <c r="C98" s="1" t="n">
        <v>45837</v>
      </c>
      <c r="D98" t="inlineStr">
        <is>
          <t>VÄSTRA GÖTALANDS LÄN</t>
        </is>
      </c>
      <c r="E98" t="inlineStr">
        <is>
          <t>TROLLHÄTTAN</t>
        </is>
      </c>
      <c r="G98" t="n">
        <v>6.2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17611-2021</t>
        </is>
      </c>
      <c r="B99" s="1" t="n">
        <v>44300</v>
      </c>
      <c r="C99" s="1" t="n">
        <v>45837</v>
      </c>
      <c r="D99" t="inlineStr">
        <is>
          <t>VÄSTRA GÖTALANDS LÄN</t>
        </is>
      </c>
      <c r="E99" t="inlineStr">
        <is>
          <t>TROLLHÄTTAN</t>
        </is>
      </c>
      <c r="G99" t="n">
        <v>0.5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19049-2021</t>
        </is>
      </c>
      <c r="B100" s="1" t="n">
        <v>44308</v>
      </c>
      <c r="C100" s="1" t="n">
        <v>45837</v>
      </c>
      <c r="D100" t="inlineStr">
        <is>
          <t>VÄSTRA GÖTALANDS LÄN</t>
        </is>
      </c>
      <c r="E100" t="inlineStr">
        <is>
          <t>TROLLHÄTTAN</t>
        </is>
      </c>
      <c r="G100" t="n">
        <v>1.4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19167-2021</t>
        </is>
      </c>
      <c r="B101" s="1" t="n">
        <v>44308</v>
      </c>
      <c r="C101" s="1" t="n">
        <v>45837</v>
      </c>
      <c r="D101" t="inlineStr">
        <is>
          <t>VÄSTRA GÖTALANDS LÄN</t>
        </is>
      </c>
      <c r="E101" t="inlineStr">
        <is>
          <t>TROLLHÄTTAN</t>
        </is>
      </c>
      <c r="G101" t="n">
        <v>0.6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19223-2021</t>
        </is>
      </c>
      <c r="B102" s="1" t="n">
        <v>44309</v>
      </c>
      <c r="C102" s="1" t="n">
        <v>45837</v>
      </c>
      <c r="D102" t="inlineStr">
        <is>
          <t>VÄSTRA GÖTALANDS LÄN</t>
        </is>
      </c>
      <c r="E102" t="inlineStr">
        <is>
          <t>TROLLHÄTTAN</t>
        </is>
      </c>
      <c r="G102" t="n">
        <v>2.9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19355-2021</t>
        </is>
      </c>
      <c r="B103" s="1" t="n">
        <v>44309</v>
      </c>
      <c r="C103" s="1" t="n">
        <v>45837</v>
      </c>
      <c r="D103" t="inlineStr">
        <is>
          <t>VÄSTRA GÖTALANDS LÄN</t>
        </is>
      </c>
      <c r="E103" t="inlineStr">
        <is>
          <t>TROLLHÄTTAN</t>
        </is>
      </c>
      <c r="G103" t="n">
        <v>1.3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19820-2021</t>
        </is>
      </c>
      <c r="B104" s="1" t="n">
        <v>44312</v>
      </c>
      <c r="C104" s="1" t="n">
        <v>45837</v>
      </c>
      <c r="D104" t="inlineStr">
        <is>
          <t>VÄSTRA GÖTALANDS LÄN</t>
        </is>
      </c>
      <c r="E104" t="inlineStr">
        <is>
          <t>TROLLHÄTTAN</t>
        </is>
      </c>
      <c r="G104" t="n">
        <v>2.9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19622-2021</t>
        </is>
      </c>
      <c r="B105" s="1" t="n">
        <v>44312</v>
      </c>
      <c r="C105" s="1" t="n">
        <v>45837</v>
      </c>
      <c r="D105" t="inlineStr">
        <is>
          <t>VÄSTRA GÖTALANDS LÄN</t>
        </is>
      </c>
      <c r="E105" t="inlineStr">
        <is>
          <t>TROLLHÄTTAN</t>
        </is>
      </c>
      <c r="G105" t="n">
        <v>0.4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20173-2021</t>
        </is>
      </c>
      <c r="B106" s="1" t="n">
        <v>44314</v>
      </c>
      <c r="C106" s="1" t="n">
        <v>45837</v>
      </c>
      <c r="D106" t="inlineStr">
        <is>
          <t>VÄSTRA GÖTALANDS LÄN</t>
        </is>
      </c>
      <c r="E106" t="inlineStr">
        <is>
          <t>TROLLHÄTTAN</t>
        </is>
      </c>
      <c r="G106" t="n">
        <v>4.2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20683-2021</t>
        </is>
      </c>
      <c r="B107" s="1" t="n">
        <v>44316</v>
      </c>
      <c r="C107" s="1" t="n">
        <v>45837</v>
      </c>
      <c r="D107" t="inlineStr">
        <is>
          <t>VÄSTRA GÖTALANDS LÄN</t>
        </is>
      </c>
      <c r="E107" t="inlineStr">
        <is>
          <t>TROLLHÄTTAN</t>
        </is>
      </c>
      <c r="G107" t="n">
        <v>2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21080-2021</t>
        </is>
      </c>
      <c r="B108" s="1" t="n">
        <v>44319</v>
      </c>
      <c r="C108" s="1" t="n">
        <v>45837</v>
      </c>
      <c r="D108" t="inlineStr">
        <is>
          <t>VÄSTRA GÖTALANDS LÄN</t>
        </is>
      </c>
      <c r="E108" t="inlineStr">
        <is>
          <t>TROLLHÄTTAN</t>
        </is>
      </c>
      <c r="G108" t="n">
        <v>1.1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21650-2021</t>
        </is>
      </c>
      <c r="B109" s="1" t="n">
        <v>44322</v>
      </c>
      <c r="C109" s="1" t="n">
        <v>45837</v>
      </c>
      <c r="D109" t="inlineStr">
        <is>
          <t>VÄSTRA GÖTALANDS LÄN</t>
        </is>
      </c>
      <c r="E109" t="inlineStr">
        <is>
          <t>TROLLHÄTTAN</t>
        </is>
      </c>
      <c r="G109" t="n">
        <v>3.7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23083-2021</t>
        </is>
      </c>
      <c r="B110" s="1" t="n">
        <v>44330</v>
      </c>
      <c r="C110" s="1" t="n">
        <v>45837</v>
      </c>
      <c r="D110" t="inlineStr">
        <is>
          <t>VÄSTRA GÖTALANDS LÄN</t>
        </is>
      </c>
      <c r="E110" t="inlineStr">
        <is>
          <t>TROLLHÄTTAN</t>
        </is>
      </c>
      <c r="G110" t="n">
        <v>1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24756-2021</t>
        </is>
      </c>
      <c r="B111" s="1" t="n">
        <v>44340</v>
      </c>
      <c r="C111" s="1" t="n">
        <v>45837</v>
      </c>
      <c r="D111" t="inlineStr">
        <is>
          <t>VÄSTRA GÖTALANDS LÄN</t>
        </is>
      </c>
      <c r="E111" t="inlineStr">
        <is>
          <t>TROLLHÄTTAN</t>
        </is>
      </c>
      <c r="G111" t="n">
        <v>4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25413-2021</t>
        </is>
      </c>
      <c r="B112" s="1" t="n">
        <v>44342</v>
      </c>
      <c r="C112" s="1" t="n">
        <v>45837</v>
      </c>
      <c r="D112" t="inlineStr">
        <is>
          <t>VÄSTRA GÖTALANDS LÄN</t>
        </is>
      </c>
      <c r="E112" t="inlineStr">
        <is>
          <t>TROLLHÄTTAN</t>
        </is>
      </c>
      <c r="G112" t="n">
        <v>0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25422-2021</t>
        </is>
      </c>
      <c r="B113" s="1" t="n">
        <v>44342</v>
      </c>
      <c r="C113" s="1" t="n">
        <v>45837</v>
      </c>
      <c r="D113" t="inlineStr">
        <is>
          <t>VÄSTRA GÖTALANDS LÄN</t>
        </is>
      </c>
      <c r="E113" t="inlineStr">
        <is>
          <t>TROLLHÄTTAN</t>
        </is>
      </c>
      <c r="G113" t="n">
        <v>0.5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25427-2021</t>
        </is>
      </c>
      <c r="B114" s="1" t="n">
        <v>44342</v>
      </c>
      <c r="C114" s="1" t="n">
        <v>45837</v>
      </c>
      <c r="D114" t="inlineStr">
        <is>
          <t>VÄSTRA GÖTALANDS LÄN</t>
        </is>
      </c>
      <c r="E114" t="inlineStr">
        <is>
          <t>TROLLHÄTTAN</t>
        </is>
      </c>
      <c r="G114" t="n">
        <v>0.2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26628-2021</t>
        </is>
      </c>
      <c r="B115" s="1" t="n">
        <v>44348</v>
      </c>
      <c r="C115" s="1" t="n">
        <v>45837</v>
      </c>
      <c r="D115" t="inlineStr">
        <is>
          <t>VÄSTRA GÖTALANDS LÄN</t>
        </is>
      </c>
      <c r="E115" t="inlineStr">
        <is>
          <t>TROLLHÄTTAN</t>
        </is>
      </c>
      <c r="G115" t="n">
        <v>9.300000000000001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30220-2021</t>
        </is>
      </c>
      <c r="B116" s="1" t="n">
        <v>44363</v>
      </c>
      <c r="C116" s="1" t="n">
        <v>45837</v>
      </c>
      <c r="D116" t="inlineStr">
        <is>
          <t>VÄSTRA GÖTALANDS LÄN</t>
        </is>
      </c>
      <c r="E116" t="inlineStr">
        <is>
          <t>TROLLHÄTTAN</t>
        </is>
      </c>
      <c r="G116" t="n">
        <v>0.6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31088-2021</t>
        </is>
      </c>
      <c r="B117" s="1" t="n">
        <v>44368</v>
      </c>
      <c r="C117" s="1" t="n">
        <v>45837</v>
      </c>
      <c r="D117" t="inlineStr">
        <is>
          <t>VÄSTRA GÖTALANDS LÄN</t>
        </is>
      </c>
      <c r="E117" t="inlineStr">
        <is>
          <t>TROLLHÄTTAN</t>
        </is>
      </c>
      <c r="G117" t="n">
        <v>0.5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33587-2021</t>
        </is>
      </c>
      <c r="B118" s="1" t="n">
        <v>44378</v>
      </c>
      <c r="C118" s="1" t="n">
        <v>45837</v>
      </c>
      <c r="D118" t="inlineStr">
        <is>
          <t>VÄSTRA GÖTALANDS LÄN</t>
        </is>
      </c>
      <c r="E118" t="inlineStr">
        <is>
          <t>TROLLHÄTTAN</t>
        </is>
      </c>
      <c r="G118" t="n">
        <v>2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34365-2021</t>
        </is>
      </c>
      <c r="B119" s="1" t="n">
        <v>44379</v>
      </c>
      <c r="C119" s="1" t="n">
        <v>45837</v>
      </c>
      <c r="D119" t="inlineStr">
        <is>
          <t>VÄSTRA GÖTALANDS LÄN</t>
        </is>
      </c>
      <c r="E119" t="inlineStr">
        <is>
          <t>TROLLHÄTTAN</t>
        </is>
      </c>
      <c r="G119" t="n">
        <v>5.6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35372-2021</t>
        </is>
      </c>
      <c r="B120" s="1" t="n">
        <v>44384</v>
      </c>
      <c r="C120" s="1" t="n">
        <v>45837</v>
      </c>
      <c r="D120" t="inlineStr">
        <is>
          <t>VÄSTRA GÖTALANDS LÄN</t>
        </is>
      </c>
      <c r="E120" t="inlineStr">
        <is>
          <t>TROLLHÄTTAN</t>
        </is>
      </c>
      <c r="G120" t="n">
        <v>3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35961-2021</t>
        </is>
      </c>
      <c r="B121" s="1" t="n">
        <v>44385</v>
      </c>
      <c r="C121" s="1" t="n">
        <v>45837</v>
      </c>
      <c r="D121" t="inlineStr">
        <is>
          <t>VÄSTRA GÖTALANDS LÄN</t>
        </is>
      </c>
      <c r="E121" t="inlineStr">
        <is>
          <t>TROLLHÄTTAN</t>
        </is>
      </c>
      <c r="G121" t="n">
        <v>3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40864-2021</t>
        </is>
      </c>
      <c r="B122" s="1" t="n">
        <v>44421</v>
      </c>
      <c r="C122" s="1" t="n">
        <v>45837</v>
      </c>
      <c r="D122" t="inlineStr">
        <is>
          <t>VÄSTRA GÖTALANDS LÄN</t>
        </is>
      </c>
      <c r="E122" t="inlineStr">
        <is>
          <t>TROLLHÄTTAN</t>
        </is>
      </c>
      <c r="G122" t="n">
        <v>2.4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41075-2021</t>
        </is>
      </c>
      <c r="B123" s="1" t="n">
        <v>44422</v>
      </c>
      <c r="C123" s="1" t="n">
        <v>45837</v>
      </c>
      <c r="D123" t="inlineStr">
        <is>
          <t>VÄSTRA GÖTALANDS LÄN</t>
        </is>
      </c>
      <c r="E123" t="inlineStr">
        <is>
          <t>TROLLHÄTTAN</t>
        </is>
      </c>
      <c r="G123" t="n">
        <v>3.1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43374-2021</t>
        </is>
      </c>
      <c r="B124" s="1" t="n">
        <v>44432</v>
      </c>
      <c r="C124" s="1" t="n">
        <v>45837</v>
      </c>
      <c r="D124" t="inlineStr">
        <is>
          <t>VÄSTRA GÖTALANDS LÄN</t>
        </is>
      </c>
      <c r="E124" t="inlineStr">
        <is>
          <t>TROLLHÄTTAN</t>
        </is>
      </c>
      <c r="G124" t="n">
        <v>1.1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44910-2021</t>
        </is>
      </c>
      <c r="B125" s="1" t="n">
        <v>44438</v>
      </c>
      <c r="C125" s="1" t="n">
        <v>45837</v>
      </c>
      <c r="D125" t="inlineStr">
        <is>
          <t>VÄSTRA GÖTALANDS LÄN</t>
        </is>
      </c>
      <c r="E125" t="inlineStr">
        <is>
          <t>TROLLHÄTTAN</t>
        </is>
      </c>
      <c r="G125" t="n">
        <v>1.6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51172-2021</t>
        </is>
      </c>
      <c r="B126" s="1" t="n">
        <v>44461</v>
      </c>
      <c r="C126" s="1" t="n">
        <v>45837</v>
      </c>
      <c r="D126" t="inlineStr">
        <is>
          <t>VÄSTRA GÖTALANDS LÄN</t>
        </is>
      </c>
      <c r="E126" t="inlineStr">
        <is>
          <t>TROLLHÄTTAN</t>
        </is>
      </c>
      <c r="G126" t="n">
        <v>7.7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52687-2021</t>
        </is>
      </c>
      <c r="B127" s="1" t="n">
        <v>44466</v>
      </c>
      <c r="C127" s="1" t="n">
        <v>45837</v>
      </c>
      <c r="D127" t="inlineStr">
        <is>
          <t>VÄSTRA GÖTALANDS LÄN</t>
        </is>
      </c>
      <c r="E127" t="inlineStr">
        <is>
          <t>TROLLHÄTTAN</t>
        </is>
      </c>
      <c r="G127" t="n">
        <v>0.6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53227-2021</t>
        </is>
      </c>
      <c r="B128" s="1" t="n">
        <v>44468</v>
      </c>
      <c r="C128" s="1" t="n">
        <v>45837</v>
      </c>
      <c r="D128" t="inlineStr">
        <is>
          <t>VÄSTRA GÖTALANDS LÄN</t>
        </is>
      </c>
      <c r="E128" t="inlineStr">
        <is>
          <t>TROLLHÄTTAN</t>
        </is>
      </c>
      <c r="G128" t="n">
        <v>2.1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54087-2021</t>
        </is>
      </c>
      <c r="B129" s="1" t="n">
        <v>44470</v>
      </c>
      <c r="C129" s="1" t="n">
        <v>45837</v>
      </c>
      <c r="D129" t="inlineStr">
        <is>
          <t>VÄSTRA GÖTALANDS LÄN</t>
        </is>
      </c>
      <c r="E129" t="inlineStr">
        <is>
          <t>TROLLHÄTTAN</t>
        </is>
      </c>
      <c r="F129" t="inlineStr">
        <is>
          <t>Kommuner</t>
        </is>
      </c>
      <c r="G129" t="n">
        <v>2.1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54668-2021</t>
        </is>
      </c>
      <c r="B130" s="1" t="n">
        <v>44473</v>
      </c>
      <c r="C130" s="1" t="n">
        <v>45837</v>
      </c>
      <c r="D130" t="inlineStr">
        <is>
          <t>VÄSTRA GÖTALANDS LÄN</t>
        </is>
      </c>
      <c r="E130" t="inlineStr">
        <is>
          <t>TROLLHÄTTAN</t>
        </is>
      </c>
      <c r="F130" t="inlineStr">
        <is>
          <t>Kommuner</t>
        </is>
      </c>
      <c r="G130" t="n">
        <v>1.8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56934-2021</t>
        </is>
      </c>
      <c r="B131" s="1" t="n">
        <v>44482</v>
      </c>
      <c r="C131" s="1" t="n">
        <v>45837</v>
      </c>
      <c r="D131" t="inlineStr">
        <is>
          <t>VÄSTRA GÖTALANDS LÄN</t>
        </is>
      </c>
      <c r="E131" t="inlineStr">
        <is>
          <t>TROLLHÄTTAN</t>
        </is>
      </c>
      <c r="G131" t="n">
        <v>3.6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58146-2021</t>
        </is>
      </c>
      <c r="B132" s="1" t="n">
        <v>44487</v>
      </c>
      <c r="C132" s="1" t="n">
        <v>45837</v>
      </c>
      <c r="D132" t="inlineStr">
        <is>
          <t>VÄSTRA GÖTALANDS LÄN</t>
        </is>
      </c>
      <c r="E132" t="inlineStr">
        <is>
          <t>TROLLHÄTTAN</t>
        </is>
      </c>
      <c r="G132" t="n">
        <v>6.9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61682-2021</t>
        </is>
      </c>
      <c r="B133" s="1" t="n">
        <v>44501</v>
      </c>
      <c r="C133" s="1" t="n">
        <v>45837</v>
      </c>
      <c r="D133" t="inlineStr">
        <is>
          <t>VÄSTRA GÖTALANDS LÄN</t>
        </is>
      </c>
      <c r="E133" t="inlineStr">
        <is>
          <t>TROLLHÄTTAN</t>
        </is>
      </c>
      <c r="G133" t="n">
        <v>4.1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65004-2021</t>
        </is>
      </c>
      <c r="B134" s="1" t="n">
        <v>44514</v>
      </c>
      <c r="C134" s="1" t="n">
        <v>45837</v>
      </c>
      <c r="D134" t="inlineStr">
        <is>
          <t>VÄSTRA GÖTALANDS LÄN</t>
        </is>
      </c>
      <c r="E134" t="inlineStr">
        <is>
          <t>TROLLHÄTTAN</t>
        </is>
      </c>
      <c r="G134" t="n">
        <v>1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65254-2021</t>
        </is>
      </c>
      <c r="B135" s="1" t="n">
        <v>44515</v>
      </c>
      <c r="C135" s="1" t="n">
        <v>45837</v>
      </c>
      <c r="D135" t="inlineStr">
        <is>
          <t>VÄSTRA GÖTALANDS LÄN</t>
        </is>
      </c>
      <c r="E135" t="inlineStr">
        <is>
          <t>TROLLHÄTTAN</t>
        </is>
      </c>
      <c r="G135" t="n">
        <v>6.4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65608-2021</t>
        </is>
      </c>
      <c r="B136" s="1" t="n">
        <v>44516</v>
      </c>
      <c r="C136" s="1" t="n">
        <v>45837</v>
      </c>
      <c r="D136" t="inlineStr">
        <is>
          <t>VÄSTRA GÖTALANDS LÄN</t>
        </is>
      </c>
      <c r="E136" t="inlineStr">
        <is>
          <t>TROLLHÄTTAN</t>
        </is>
      </c>
      <c r="G136" t="n">
        <v>7.3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66960-2021</t>
        </is>
      </c>
      <c r="B137" s="1" t="n">
        <v>44522</v>
      </c>
      <c r="C137" s="1" t="n">
        <v>45837</v>
      </c>
      <c r="D137" t="inlineStr">
        <is>
          <t>VÄSTRA GÖTALANDS LÄN</t>
        </is>
      </c>
      <c r="E137" t="inlineStr">
        <is>
          <t>TROLLHÄTTAN</t>
        </is>
      </c>
      <c r="G137" t="n">
        <v>1.2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66971-2021</t>
        </is>
      </c>
      <c r="B138" s="1" t="n">
        <v>44522</v>
      </c>
      <c r="C138" s="1" t="n">
        <v>45837</v>
      </c>
      <c r="D138" t="inlineStr">
        <is>
          <t>VÄSTRA GÖTALANDS LÄN</t>
        </is>
      </c>
      <c r="E138" t="inlineStr">
        <is>
          <t>TROLLHÄTTAN</t>
        </is>
      </c>
      <c r="G138" t="n">
        <v>0.5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67324-2021</t>
        </is>
      </c>
      <c r="B139" s="1" t="n">
        <v>44523</v>
      </c>
      <c r="C139" s="1" t="n">
        <v>45837</v>
      </c>
      <c r="D139" t="inlineStr">
        <is>
          <t>VÄSTRA GÖTALANDS LÄN</t>
        </is>
      </c>
      <c r="E139" t="inlineStr">
        <is>
          <t>TROLLHÄTTAN</t>
        </is>
      </c>
      <c r="G139" t="n">
        <v>7.4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67535-2021</t>
        </is>
      </c>
      <c r="B140" s="1" t="n">
        <v>44524</v>
      </c>
      <c r="C140" s="1" t="n">
        <v>45837</v>
      </c>
      <c r="D140" t="inlineStr">
        <is>
          <t>VÄSTRA GÖTALANDS LÄN</t>
        </is>
      </c>
      <c r="E140" t="inlineStr">
        <is>
          <t>TROLLHÄTTAN</t>
        </is>
      </c>
      <c r="F140" t="inlineStr">
        <is>
          <t>Kyrkan</t>
        </is>
      </c>
      <c r="G140" t="n">
        <v>2.9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68400-2021</t>
        </is>
      </c>
      <c r="B141" s="1" t="n">
        <v>44529</v>
      </c>
      <c r="C141" s="1" t="n">
        <v>45837</v>
      </c>
      <c r="D141" t="inlineStr">
        <is>
          <t>VÄSTRA GÖTALANDS LÄN</t>
        </is>
      </c>
      <c r="E141" t="inlineStr">
        <is>
          <t>TROLLHÄTTAN</t>
        </is>
      </c>
      <c r="G141" t="n">
        <v>2.8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68454-2021</t>
        </is>
      </c>
      <c r="B142" s="1" t="n">
        <v>44529</v>
      </c>
      <c r="C142" s="1" t="n">
        <v>45837</v>
      </c>
      <c r="D142" t="inlineStr">
        <is>
          <t>VÄSTRA GÖTALANDS LÄN</t>
        </is>
      </c>
      <c r="E142" t="inlineStr">
        <is>
          <t>TROLLHÄTTAN</t>
        </is>
      </c>
      <c r="G142" t="n">
        <v>1.6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73158-2021</t>
        </is>
      </c>
      <c r="B143" s="1" t="n">
        <v>44550</v>
      </c>
      <c r="C143" s="1" t="n">
        <v>45837</v>
      </c>
      <c r="D143" t="inlineStr">
        <is>
          <t>VÄSTRA GÖTALANDS LÄN</t>
        </is>
      </c>
      <c r="E143" t="inlineStr">
        <is>
          <t>TROLLHÄTTAN</t>
        </is>
      </c>
      <c r="G143" t="n">
        <v>1.3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318-2022</t>
        </is>
      </c>
      <c r="B144" s="1" t="n">
        <v>44565</v>
      </c>
      <c r="C144" s="1" t="n">
        <v>45837</v>
      </c>
      <c r="D144" t="inlineStr">
        <is>
          <t>VÄSTRA GÖTALANDS LÄN</t>
        </is>
      </c>
      <c r="E144" t="inlineStr">
        <is>
          <t>TROLLHÄTTAN</t>
        </is>
      </c>
      <c r="G144" t="n">
        <v>8.6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1296-2022</t>
        </is>
      </c>
      <c r="B145" s="1" t="n">
        <v>44572</v>
      </c>
      <c r="C145" s="1" t="n">
        <v>45837</v>
      </c>
      <c r="D145" t="inlineStr">
        <is>
          <t>VÄSTRA GÖTALANDS LÄN</t>
        </is>
      </c>
      <c r="E145" t="inlineStr">
        <is>
          <t>TROLLHÄTTAN</t>
        </is>
      </c>
      <c r="G145" t="n">
        <v>0.8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1295-2022</t>
        </is>
      </c>
      <c r="B146" s="1" t="n">
        <v>44572</v>
      </c>
      <c r="C146" s="1" t="n">
        <v>45837</v>
      </c>
      <c r="D146" t="inlineStr">
        <is>
          <t>VÄSTRA GÖTALANDS LÄN</t>
        </is>
      </c>
      <c r="E146" t="inlineStr">
        <is>
          <t>TROLLHÄTTAN</t>
        </is>
      </c>
      <c r="G146" t="n">
        <v>1.7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2460-2022</t>
        </is>
      </c>
      <c r="B147" s="1" t="n">
        <v>44579</v>
      </c>
      <c r="C147" s="1" t="n">
        <v>45837</v>
      </c>
      <c r="D147" t="inlineStr">
        <is>
          <t>VÄSTRA GÖTALANDS LÄN</t>
        </is>
      </c>
      <c r="E147" t="inlineStr">
        <is>
          <t>TROLLHÄTTAN</t>
        </is>
      </c>
      <c r="G147" t="n">
        <v>6.1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3044-2022</t>
        </is>
      </c>
      <c r="B148" s="1" t="n">
        <v>44582</v>
      </c>
      <c r="C148" s="1" t="n">
        <v>45837</v>
      </c>
      <c r="D148" t="inlineStr">
        <is>
          <t>VÄSTRA GÖTALANDS LÄN</t>
        </is>
      </c>
      <c r="E148" t="inlineStr">
        <is>
          <t>TROLLHÄTTAN</t>
        </is>
      </c>
      <c r="G148" t="n">
        <v>1.3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5235-2022</t>
        </is>
      </c>
      <c r="B149" s="1" t="n">
        <v>44594</v>
      </c>
      <c r="C149" s="1" t="n">
        <v>45837</v>
      </c>
      <c r="D149" t="inlineStr">
        <is>
          <t>VÄSTRA GÖTALANDS LÄN</t>
        </is>
      </c>
      <c r="E149" t="inlineStr">
        <is>
          <t>TROLLHÄTTAN</t>
        </is>
      </c>
      <c r="G149" t="n">
        <v>6.4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5234-2022</t>
        </is>
      </c>
      <c r="B150" s="1" t="n">
        <v>44594</v>
      </c>
      <c r="C150" s="1" t="n">
        <v>45837</v>
      </c>
      <c r="D150" t="inlineStr">
        <is>
          <t>VÄSTRA GÖTALANDS LÄN</t>
        </is>
      </c>
      <c r="E150" t="inlineStr">
        <is>
          <t>TROLLHÄTTAN</t>
        </is>
      </c>
      <c r="G150" t="n">
        <v>0.4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5242-2022</t>
        </is>
      </c>
      <c r="B151" s="1" t="n">
        <v>44594</v>
      </c>
      <c r="C151" s="1" t="n">
        <v>45837</v>
      </c>
      <c r="D151" t="inlineStr">
        <is>
          <t>VÄSTRA GÖTALANDS LÄN</t>
        </is>
      </c>
      <c r="E151" t="inlineStr">
        <is>
          <t>TROLLHÄTTAN</t>
        </is>
      </c>
      <c r="G151" t="n">
        <v>8.800000000000001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5927-2022</t>
        </is>
      </c>
      <c r="B152" s="1" t="n">
        <v>44598</v>
      </c>
      <c r="C152" s="1" t="n">
        <v>45837</v>
      </c>
      <c r="D152" t="inlineStr">
        <is>
          <t>VÄSTRA GÖTALANDS LÄN</t>
        </is>
      </c>
      <c r="E152" t="inlineStr">
        <is>
          <t>TROLLHÄTTAN</t>
        </is>
      </c>
      <c r="G152" t="n">
        <v>6.6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6456-2022</t>
        </is>
      </c>
      <c r="B153" s="1" t="n">
        <v>44601</v>
      </c>
      <c r="C153" s="1" t="n">
        <v>45837</v>
      </c>
      <c r="D153" t="inlineStr">
        <is>
          <t>VÄSTRA GÖTALANDS LÄN</t>
        </is>
      </c>
      <c r="E153" t="inlineStr">
        <is>
          <t>TROLLHÄTTAN</t>
        </is>
      </c>
      <c r="G153" t="n">
        <v>4.7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6591-2022</t>
        </is>
      </c>
      <c r="B154" s="1" t="n">
        <v>44601</v>
      </c>
      <c r="C154" s="1" t="n">
        <v>45837</v>
      </c>
      <c r="D154" t="inlineStr">
        <is>
          <t>VÄSTRA GÖTALANDS LÄN</t>
        </is>
      </c>
      <c r="E154" t="inlineStr">
        <is>
          <t>TROLLHÄTTAN</t>
        </is>
      </c>
      <c r="G154" t="n">
        <v>9.800000000000001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7628-2022</t>
        </is>
      </c>
      <c r="B155" s="1" t="n">
        <v>44607</v>
      </c>
      <c r="C155" s="1" t="n">
        <v>45837</v>
      </c>
      <c r="D155" t="inlineStr">
        <is>
          <t>VÄSTRA GÖTALANDS LÄN</t>
        </is>
      </c>
      <c r="E155" t="inlineStr">
        <is>
          <t>TROLLHÄTTAN</t>
        </is>
      </c>
      <c r="G155" t="n">
        <v>2.1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7747-2022</t>
        </is>
      </c>
      <c r="B156" s="1" t="n">
        <v>44608</v>
      </c>
      <c r="C156" s="1" t="n">
        <v>45837</v>
      </c>
      <c r="D156" t="inlineStr">
        <is>
          <t>VÄSTRA GÖTALANDS LÄN</t>
        </is>
      </c>
      <c r="E156" t="inlineStr">
        <is>
          <t>TROLLHÄTTAN</t>
        </is>
      </c>
      <c r="G156" t="n">
        <v>0.7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9821-2022</t>
        </is>
      </c>
      <c r="B157" s="1" t="n">
        <v>44620</v>
      </c>
      <c r="C157" s="1" t="n">
        <v>45837</v>
      </c>
      <c r="D157" t="inlineStr">
        <is>
          <t>VÄSTRA GÖTALANDS LÄN</t>
        </is>
      </c>
      <c r="E157" t="inlineStr">
        <is>
          <t>TROLLHÄTTAN</t>
        </is>
      </c>
      <c r="G157" t="n">
        <v>2.5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10150-2022</t>
        </is>
      </c>
      <c r="B158" s="1" t="n">
        <v>44622</v>
      </c>
      <c r="C158" s="1" t="n">
        <v>45837</v>
      </c>
      <c r="D158" t="inlineStr">
        <is>
          <t>VÄSTRA GÖTALANDS LÄN</t>
        </is>
      </c>
      <c r="E158" t="inlineStr">
        <is>
          <t>TROLLHÄTTAN</t>
        </is>
      </c>
      <c r="G158" t="n">
        <v>1.5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10494-2022</t>
        </is>
      </c>
      <c r="B159" s="1" t="n">
        <v>44623</v>
      </c>
      <c r="C159" s="1" t="n">
        <v>45837</v>
      </c>
      <c r="D159" t="inlineStr">
        <is>
          <t>VÄSTRA GÖTALANDS LÄN</t>
        </is>
      </c>
      <c r="E159" t="inlineStr">
        <is>
          <t>TROLLHÄTTAN</t>
        </is>
      </c>
      <c r="G159" t="n">
        <v>13.3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11991-2022</t>
        </is>
      </c>
      <c r="B160" s="1" t="n">
        <v>44635</v>
      </c>
      <c r="C160" s="1" t="n">
        <v>45837</v>
      </c>
      <c r="D160" t="inlineStr">
        <is>
          <t>VÄSTRA GÖTALANDS LÄN</t>
        </is>
      </c>
      <c r="E160" t="inlineStr">
        <is>
          <t>TROLLHÄTTAN</t>
        </is>
      </c>
      <c r="G160" t="n">
        <v>0.6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13220-2022</t>
        </is>
      </c>
      <c r="B161" s="1" t="n">
        <v>44644</v>
      </c>
      <c r="C161" s="1" t="n">
        <v>45837</v>
      </c>
      <c r="D161" t="inlineStr">
        <is>
          <t>VÄSTRA GÖTALANDS LÄN</t>
        </is>
      </c>
      <c r="E161" t="inlineStr">
        <is>
          <t>TROLLHÄTTAN</t>
        </is>
      </c>
      <c r="G161" t="n">
        <v>1.3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13515-2022</t>
        </is>
      </c>
      <c r="B162" s="1" t="n">
        <v>44648</v>
      </c>
      <c r="C162" s="1" t="n">
        <v>45837</v>
      </c>
      <c r="D162" t="inlineStr">
        <is>
          <t>VÄSTRA GÖTALANDS LÄN</t>
        </is>
      </c>
      <c r="E162" t="inlineStr">
        <is>
          <t>TROLLHÄTTAN</t>
        </is>
      </c>
      <c r="G162" t="n">
        <v>3.3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13510-2022</t>
        </is>
      </c>
      <c r="B163" s="1" t="n">
        <v>44648</v>
      </c>
      <c r="C163" s="1" t="n">
        <v>45837</v>
      </c>
      <c r="D163" t="inlineStr">
        <is>
          <t>VÄSTRA GÖTALANDS LÄN</t>
        </is>
      </c>
      <c r="E163" t="inlineStr">
        <is>
          <t>TROLLHÄTTAN</t>
        </is>
      </c>
      <c r="G163" t="n">
        <v>17.6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13883-2022</t>
        </is>
      </c>
      <c r="B164" s="1" t="n">
        <v>44650</v>
      </c>
      <c r="C164" s="1" t="n">
        <v>45837</v>
      </c>
      <c r="D164" t="inlineStr">
        <is>
          <t>VÄSTRA GÖTALANDS LÄN</t>
        </is>
      </c>
      <c r="E164" t="inlineStr">
        <is>
          <t>TROLLHÄTTAN</t>
        </is>
      </c>
      <c r="G164" t="n">
        <v>6.1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17126-2022</t>
        </is>
      </c>
      <c r="B165" s="1" t="n">
        <v>44677</v>
      </c>
      <c r="C165" s="1" t="n">
        <v>45837</v>
      </c>
      <c r="D165" t="inlineStr">
        <is>
          <t>VÄSTRA GÖTALANDS LÄN</t>
        </is>
      </c>
      <c r="E165" t="inlineStr">
        <is>
          <t>TROLLHÄTTAN</t>
        </is>
      </c>
      <c r="G165" t="n">
        <v>2.4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17194-2022</t>
        </is>
      </c>
      <c r="B166" s="1" t="n">
        <v>44677</v>
      </c>
      <c r="C166" s="1" t="n">
        <v>45837</v>
      </c>
      <c r="D166" t="inlineStr">
        <is>
          <t>VÄSTRA GÖTALANDS LÄN</t>
        </is>
      </c>
      <c r="E166" t="inlineStr">
        <is>
          <t>TROLLHÄTTAN</t>
        </is>
      </c>
      <c r="G166" t="n">
        <v>2.9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17330-2022</t>
        </is>
      </c>
      <c r="B167" s="1" t="n">
        <v>44678</v>
      </c>
      <c r="C167" s="1" t="n">
        <v>45837</v>
      </c>
      <c r="D167" t="inlineStr">
        <is>
          <t>VÄSTRA GÖTALANDS LÄN</t>
        </is>
      </c>
      <c r="E167" t="inlineStr">
        <is>
          <t>TROLLHÄTTAN</t>
        </is>
      </c>
      <c r="G167" t="n">
        <v>3.4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17843-2022</t>
        </is>
      </c>
      <c r="B168" s="1" t="n">
        <v>44683</v>
      </c>
      <c r="C168" s="1" t="n">
        <v>45837</v>
      </c>
      <c r="D168" t="inlineStr">
        <is>
          <t>VÄSTRA GÖTALANDS LÄN</t>
        </is>
      </c>
      <c r="E168" t="inlineStr">
        <is>
          <t>TROLLHÄTTAN</t>
        </is>
      </c>
      <c r="G168" t="n">
        <v>1.4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18533-2022</t>
        </is>
      </c>
      <c r="B169" s="1" t="n">
        <v>44686</v>
      </c>
      <c r="C169" s="1" t="n">
        <v>45837</v>
      </c>
      <c r="D169" t="inlineStr">
        <is>
          <t>VÄSTRA GÖTALANDS LÄN</t>
        </is>
      </c>
      <c r="E169" t="inlineStr">
        <is>
          <t>TROLLHÄTTAN</t>
        </is>
      </c>
      <c r="G169" t="n">
        <v>2.5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19232-2022</t>
        </is>
      </c>
      <c r="B170" s="1" t="n">
        <v>44692</v>
      </c>
      <c r="C170" s="1" t="n">
        <v>45837</v>
      </c>
      <c r="D170" t="inlineStr">
        <is>
          <t>VÄSTRA GÖTALANDS LÄN</t>
        </is>
      </c>
      <c r="E170" t="inlineStr">
        <is>
          <t>TROLLHÄTTAN</t>
        </is>
      </c>
      <c r="G170" t="n">
        <v>10.4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19577-2022</t>
        </is>
      </c>
      <c r="B171" s="1" t="n">
        <v>44693</v>
      </c>
      <c r="C171" s="1" t="n">
        <v>45837</v>
      </c>
      <c r="D171" t="inlineStr">
        <is>
          <t>VÄSTRA GÖTALANDS LÄN</t>
        </is>
      </c>
      <c r="E171" t="inlineStr">
        <is>
          <t>TROLLHÄTTAN</t>
        </is>
      </c>
      <c r="G171" t="n">
        <v>1.4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20737-2022</t>
        </is>
      </c>
      <c r="B172" s="1" t="n">
        <v>44701</v>
      </c>
      <c r="C172" s="1" t="n">
        <v>45837</v>
      </c>
      <c r="D172" t="inlineStr">
        <is>
          <t>VÄSTRA GÖTALANDS LÄN</t>
        </is>
      </c>
      <c r="E172" t="inlineStr">
        <is>
          <t>TROLLHÄTTAN</t>
        </is>
      </c>
      <c r="G172" t="n">
        <v>1.9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21171-2022</t>
        </is>
      </c>
      <c r="B173" s="1" t="n">
        <v>44704</v>
      </c>
      <c r="C173" s="1" t="n">
        <v>45837</v>
      </c>
      <c r="D173" t="inlineStr">
        <is>
          <t>VÄSTRA GÖTALANDS LÄN</t>
        </is>
      </c>
      <c r="E173" t="inlineStr">
        <is>
          <t>TROLLHÄTTAN</t>
        </is>
      </c>
      <c r="G173" t="n">
        <v>0.9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24453-2022</t>
        </is>
      </c>
      <c r="B174" s="1" t="n">
        <v>44726</v>
      </c>
      <c r="C174" s="1" t="n">
        <v>45837</v>
      </c>
      <c r="D174" t="inlineStr">
        <is>
          <t>VÄSTRA GÖTALANDS LÄN</t>
        </is>
      </c>
      <c r="E174" t="inlineStr">
        <is>
          <t>TROLLHÄTTAN</t>
        </is>
      </c>
      <c r="G174" t="n">
        <v>4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24432-2022</t>
        </is>
      </c>
      <c r="B175" s="1" t="n">
        <v>44726</v>
      </c>
      <c r="C175" s="1" t="n">
        <v>45837</v>
      </c>
      <c r="D175" t="inlineStr">
        <is>
          <t>VÄSTRA GÖTALANDS LÄN</t>
        </is>
      </c>
      <c r="E175" t="inlineStr">
        <is>
          <t>TROLLHÄTTAN</t>
        </is>
      </c>
      <c r="G175" t="n">
        <v>1.3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25518-2022</t>
        </is>
      </c>
      <c r="B176" s="1" t="n">
        <v>44732</v>
      </c>
      <c r="C176" s="1" t="n">
        <v>45837</v>
      </c>
      <c r="D176" t="inlineStr">
        <is>
          <t>VÄSTRA GÖTALANDS LÄN</t>
        </is>
      </c>
      <c r="E176" t="inlineStr">
        <is>
          <t>TROLLHÄTTAN</t>
        </is>
      </c>
      <c r="G176" t="n">
        <v>0.6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25514-2022</t>
        </is>
      </c>
      <c r="B177" s="1" t="n">
        <v>44732</v>
      </c>
      <c r="C177" s="1" t="n">
        <v>45837</v>
      </c>
      <c r="D177" t="inlineStr">
        <is>
          <t>VÄSTRA GÖTALANDS LÄN</t>
        </is>
      </c>
      <c r="E177" t="inlineStr">
        <is>
          <t>TROLLHÄTTAN</t>
        </is>
      </c>
      <c r="G177" t="n">
        <v>1.5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27652-2022</t>
        </is>
      </c>
      <c r="B178" s="1" t="n">
        <v>44743</v>
      </c>
      <c r="C178" s="1" t="n">
        <v>45837</v>
      </c>
      <c r="D178" t="inlineStr">
        <is>
          <t>VÄSTRA GÖTALANDS LÄN</t>
        </is>
      </c>
      <c r="E178" t="inlineStr">
        <is>
          <t>TROLLHÄTTAN</t>
        </is>
      </c>
      <c r="G178" t="n">
        <v>9.1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30157-2022</t>
        </is>
      </c>
      <c r="B179" s="1" t="n">
        <v>44757</v>
      </c>
      <c r="C179" s="1" t="n">
        <v>45837</v>
      </c>
      <c r="D179" t="inlineStr">
        <is>
          <t>VÄSTRA GÖTALANDS LÄN</t>
        </is>
      </c>
      <c r="E179" t="inlineStr">
        <is>
          <t>TROLLHÄTTAN</t>
        </is>
      </c>
      <c r="G179" t="n">
        <v>4.3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32826-2022</t>
        </is>
      </c>
      <c r="B180" s="1" t="n">
        <v>44784</v>
      </c>
      <c r="C180" s="1" t="n">
        <v>45837</v>
      </c>
      <c r="D180" t="inlineStr">
        <is>
          <t>VÄSTRA GÖTALANDS LÄN</t>
        </is>
      </c>
      <c r="E180" t="inlineStr">
        <is>
          <t>TROLLHÄTTAN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33547-2022</t>
        </is>
      </c>
      <c r="B181" s="1" t="n">
        <v>44789</v>
      </c>
      <c r="C181" s="1" t="n">
        <v>45837</v>
      </c>
      <c r="D181" t="inlineStr">
        <is>
          <t>VÄSTRA GÖTALANDS LÄN</t>
        </is>
      </c>
      <c r="E181" t="inlineStr">
        <is>
          <t>TROLLHÄTTAN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33546-2022</t>
        </is>
      </c>
      <c r="B182" s="1" t="n">
        <v>44789</v>
      </c>
      <c r="C182" s="1" t="n">
        <v>45837</v>
      </c>
      <c r="D182" t="inlineStr">
        <is>
          <t>VÄSTRA GÖTALANDS LÄN</t>
        </is>
      </c>
      <c r="E182" t="inlineStr">
        <is>
          <t>TROLLHÄTTAN</t>
        </is>
      </c>
      <c r="G182" t="n">
        <v>0.5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35164-2022</t>
        </is>
      </c>
      <c r="B183" s="1" t="n">
        <v>44797</v>
      </c>
      <c r="C183" s="1" t="n">
        <v>45837</v>
      </c>
      <c r="D183" t="inlineStr">
        <is>
          <t>VÄSTRA GÖTALANDS LÄN</t>
        </is>
      </c>
      <c r="E183" t="inlineStr">
        <is>
          <t>TROLLHÄTTAN</t>
        </is>
      </c>
      <c r="G183" t="n">
        <v>1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35162-2022</t>
        </is>
      </c>
      <c r="B184" s="1" t="n">
        <v>44797</v>
      </c>
      <c r="C184" s="1" t="n">
        <v>45837</v>
      </c>
      <c r="D184" t="inlineStr">
        <is>
          <t>VÄSTRA GÖTALANDS LÄN</t>
        </is>
      </c>
      <c r="E184" t="inlineStr">
        <is>
          <t>TROLLHÄTTAN</t>
        </is>
      </c>
      <c r="G184" t="n">
        <v>0.6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35465-2022</t>
        </is>
      </c>
      <c r="B185" s="1" t="n">
        <v>44798</v>
      </c>
      <c r="C185" s="1" t="n">
        <v>45837</v>
      </c>
      <c r="D185" t="inlineStr">
        <is>
          <t>VÄSTRA GÖTALANDS LÄN</t>
        </is>
      </c>
      <c r="E185" t="inlineStr">
        <is>
          <t>TROLLHÄTTAN</t>
        </is>
      </c>
      <c r="G185" t="n">
        <v>1.1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35463-2022</t>
        </is>
      </c>
      <c r="B186" s="1" t="n">
        <v>44798</v>
      </c>
      <c r="C186" s="1" t="n">
        <v>45837</v>
      </c>
      <c r="D186" t="inlineStr">
        <is>
          <t>VÄSTRA GÖTALANDS LÄN</t>
        </is>
      </c>
      <c r="E186" t="inlineStr">
        <is>
          <t>TROLLHÄTTAN</t>
        </is>
      </c>
      <c r="G186" t="n">
        <v>3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37305-2022</t>
        </is>
      </c>
      <c r="B187" s="1" t="n">
        <v>44809</v>
      </c>
      <c r="C187" s="1" t="n">
        <v>45837</v>
      </c>
      <c r="D187" t="inlineStr">
        <is>
          <t>VÄSTRA GÖTALANDS LÄN</t>
        </is>
      </c>
      <c r="E187" t="inlineStr">
        <is>
          <t>TROLLHÄTTAN</t>
        </is>
      </c>
      <c r="G187" t="n">
        <v>9.9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37658-2022</t>
        </is>
      </c>
      <c r="B188" s="1" t="n">
        <v>44810</v>
      </c>
      <c r="C188" s="1" t="n">
        <v>45837</v>
      </c>
      <c r="D188" t="inlineStr">
        <is>
          <t>VÄSTRA GÖTALANDS LÄN</t>
        </is>
      </c>
      <c r="E188" t="inlineStr">
        <is>
          <t>TROLLHÄTTAN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38000-2022</t>
        </is>
      </c>
      <c r="B189" s="1" t="n">
        <v>44811</v>
      </c>
      <c r="C189" s="1" t="n">
        <v>45837</v>
      </c>
      <c r="D189" t="inlineStr">
        <is>
          <t>VÄSTRA GÖTALANDS LÄN</t>
        </is>
      </c>
      <c r="E189" t="inlineStr">
        <is>
          <t>TROLLHÄTTAN</t>
        </is>
      </c>
      <c r="G189" t="n">
        <v>0.5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39116-2022</t>
        </is>
      </c>
      <c r="B190" s="1" t="n">
        <v>44817</v>
      </c>
      <c r="C190" s="1" t="n">
        <v>45837</v>
      </c>
      <c r="D190" t="inlineStr">
        <is>
          <t>VÄSTRA GÖTALANDS LÄN</t>
        </is>
      </c>
      <c r="E190" t="inlineStr">
        <is>
          <t>TROLLHÄTTAN</t>
        </is>
      </c>
      <c r="G190" t="n">
        <v>3.3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39611-2022</t>
        </is>
      </c>
      <c r="B191" s="1" t="n">
        <v>44818</v>
      </c>
      <c r="C191" s="1" t="n">
        <v>45837</v>
      </c>
      <c r="D191" t="inlineStr">
        <is>
          <t>VÄSTRA GÖTALANDS LÄN</t>
        </is>
      </c>
      <c r="E191" t="inlineStr">
        <is>
          <t>TROLLHÄTTAN</t>
        </is>
      </c>
      <c r="F191" t="inlineStr">
        <is>
          <t>Kommuner</t>
        </is>
      </c>
      <c r="G191" t="n">
        <v>1.3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39963-2022</t>
        </is>
      </c>
      <c r="B192" s="1" t="n">
        <v>44820</v>
      </c>
      <c r="C192" s="1" t="n">
        <v>45837</v>
      </c>
      <c r="D192" t="inlineStr">
        <is>
          <t>VÄSTRA GÖTALANDS LÄN</t>
        </is>
      </c>
      <c r="E192" t="inlineStr">
        <is>
          <t>TROLLHÄTTAN</t>
        </is>
      </c>
      <c r="G192" t="n">
        <v>4.6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40896-2022</t>
        </is>
      </c>
      <c r="B193" s="1" t="n">
        <v>44825</v>
      </c>
      <c r="C193" s="1" t="n">
        <v>45837</v>
      </c>
      <c r="D193" t="inlineStr">
        <is>
          <t>VÄSTRA GÖTALANDS LÄN</t>
        </is>
      </c>
      <c r="E193" t="inlineStr">
        <is>
          <t>TROLLHÄTTAN</t>
        </is>
      </c>
      <c r="G193" t="n">
        <v>11.3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41752-2022</t>
        </is>
      </c>
      <c r="B194" s="1" t="n">
        <v>44827</v>
      </c>
      <c r="C194" s="1" t="n">
        <v>45837</v>
      </c>
      <c r="D194" t="inlineStr">
        <is>
          <t>VÄSTRA GÖTALANDS LÄN</t>
        </is>
      </c>
      <c r="E194" t="inlineStr">
        <is>
          <t>TROLLHÄTTAN</t>
        </is>
      </c>
      <c r="G194" t="n">
        <v>2.9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41696-2022</t>
        </is>
      </c>
      <c r="B195" s="1" t="n">
        <v>44827</v>
      </c>
      <c r="C195" s="1" t="n">
        <v>45837</v>
      </c>
      <c r="D195" t="inlineStr">
        <is>
          <t>VÄSTRA GÖTALANDS LÄN</t>
        </is>
      </c>
      <c r="E195" t="inlineStr">
        <is>
          <t>TROLLHÄTTAN</t>
        </is>
      </c>
      <c r="G195" t="n">
        <v>0.6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41760-2022</t>
        </is>
      </c>
      <c r="B196" s="1" t="n">
        <v>44827</v>
      </c>
      <c r="C196" s="1" t="n">
        <v>45837</v>
      </c>
      <c r="D196" t="inlineStr">
        <is>
          <t>VÄSTRA GÖTALANDS LÄN</t>
        </is>
      </c>
      <c r="E196" t="inlineStr">
        <is>
          <t>TROLLHÄTTAN</t>
        </is>
      </c>
      <c r="G196" t="n">
        <v>1.1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41893-2022</t>
        </is>
      </c>
      <c r="B197" s="1" t="n">
        <v>44830</v>
      </c>
      <c r="C197" s="1" t="n">
        <v>45837</v>
      </c>
      <c r="D197" t="inlineStr">
        <is>
          <t>VÄSTRA GÖTALANDS LÄN</t>
        </is>
      </c>
      <c r="E197" t="inlineStr">
        <is>
          <t>TROLLHÄTTAN</t>
        </is>
      </c>
      <c r="F197" t="inlineStr">
        <is>
          <t>Kommuner</t>
        </is>
      </c>
      <c r="G197" t="n">
        <v>2.5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45521-2022</t>
        </is>
      </c>
      <c r="B198" s="1" t="n">
        <v>44845</v>
      </c>
      <c r="C198" s="1" t="n">
        <v>45837</v>
      </c>
      <c r="D198" t="inlineStr">
        <is>
          <t>VÄSTRA GÖTALANDS LÄN</t>
        </is>
      </c>
      <c r="E198" t="inlineStr">
        <is>
          <t>TROLLHÄTTAN</t>
        </is>
      </c>
      <c r="G198" t="n">
        <v>4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45994-2022</t>
        </is>
      </c>
      <c r="B199" s="1" t="n">
        <v>44846</v>
      </c>
      <c r="C199" s="1" t="n">
        <v>45837</v>
      </c>
      <c r="D199" t="inlineStr">
        <is>
          <t>VÄSTRA GÖTALANDS LÄN</t>
        </is>
      </c>
      <c r="E199" t="inlineStr">
        <is>
          <t>TROLLHÄTTAN</t>
        </is>
      </c>
      <c r="G199" t="n">
        <v>2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45995-2022</t>
        </is>
      </c>
      <c r="B200" s="1" t="n">
        <v>44846</v>
      </c>
      <c r="C200" s="1" t="n">
        <v>45837</v>
      </c>
      <c r="D200" t="inlineStr">
        <is>
          <t>VÄSTRA GÖTALANDS LÄN</t>
        </is>
      </c>
      <c r="E200" t="inlineStr">
        <is>
          <t>TROLLHÄTTAN</t>
        </is>
      </c>
      <c r="G200" t="n">
        <v>2.2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46673-2022</t>
        </is>
      </c>
      <c r="B201" s="1" t="n">
        <v>44851</v>
      </c>
      <c r="C201" s="1" t="n">
        <v>45837</v>
      </c>
      <c r="D201" t="inlineStr">
        <is>
          <t>VÄSTRA GÖTALANDS LÄN</t>
        </is>
      </c>
      <c r="E201" t="inlineStr">
        <is>
          <t>TROLLHÄTTAN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46675-2022</t>
        </is>
      </c>
      <c r="B202" s="1" t="n">
        <v>44851</v>
      </c>
      <c r="C202" s="1" t="n">
        <v>45837</v>
      </c>
      <c r="D202" t="inlineStr">
        <is>
          <t>VÄSTRA GÖTALANDS LÄN</t>
        </is>
      </c>
      <c r="E202" t="inlineStr">
        <is>
          <t>TROLLHÄTTAN</t>
        </is>
      </c>
      <c r="G202" t="n">
        <v>2.2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47755-2022</t>
        </is>
      </c>
      <c r="B203" s="1" t="n">
        <v>44854</v>
      </c>
      <c r="C203" s="1" t="n">
        <v>45837</v>
      </c>
      <c r="D203" t="inlineStr">
        <is>
          <t>VÄSTRA GÖTALANDS LÄN</t>
        </is>
      </c>
      <c r="E203" t="inlineStr">
        <is>
          <t>TROLLHÄTTAN</t>
        </is>
      </c>
      <c r="G203" t="n">
        <v>2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52291-2022</t>
        </is>
      </c>
      <c r="B204" s="1" t="n">
        <v>44869</v>
      </c>
      <c r="C204" s="1" t="n">
        <v>45837</v>
      </c>
      <c r="D204" t="inlineStr">
        <is>
          <t>VÄSTRA GÖTALANDS LÄN</t>
        </is>
      </c>
      <c r="E204" t="inlineStr">
        <is>
          <t>TROLLHÄTTAN</t>
        </is>
      </c>
      <c r="F204" t="inlineStr">
        <is>
          <t>Kyrkan</t>
        </is>
      </c>
      <c r="G204" t="n">
        <v>1.7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53134-2022</t>
        </is>
      </c>
      <c r="B205" s="1" t="n">
        <v>44876</v>
      </c>
      <c r="C205" s="1" t="n">
        <v>45837</v>
      </c>
      <c r="D205" t="inlineStr">
        <is>
          <t>VÄSTRA GÖTALANDS LÄN</t>
        </is>
      </c>
      <c r="E205" t="inlineStr">
        <is>
          <t>TROLLHÄTTAN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53131-2022</t>
        </is>
      </c>
      <c r="B206" s="1" t="n">
        <v>44876</v>
      </c>
      <c r="C206" s="1" t="n">
        <v>45837</v>
      </c>
      <c r="D206" t="inlineStr">
        <is>
          <t>VÄSTRA GÖTALANDS LÄN</t>
        </is>
      </c>
      <c r="E206" t="inlineStr">
        <is>
          <t>TROLLHÄTTAN</t>
        </is>
      </c>
      <c r="G206" t="n">
        <v>1.8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53426-2022</t>
        </is>
      </c>
      <c r="B207" s="1" t="n">
        <v>44879</v>
      </c>
      <c r="C207" s="1" t="n">
        <v>45837</v>
      </c>
      <c r="D207" t="inlineStr">
        <is>
          <t>VÄSTRA GÖTALANDS LÄN</t>
        </is>
      </c>
      <c r="E207" t="inlineStr">
        <is>
          <t>TROLLHÄTTAN</t>
        </is>
      </c>
      <c r="G207" t="n">
        <v>13.2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53433-2022</t>
        </is>
      </c>
      <c r="B208" s="1" t="n">
        <v>44879</v>
      </c>
      <c r="C208" s="1" t="n">
        <v>45837</v>
      </c>
      <c r="D208" t="inlineStr">
        <is>
          <t>VÄSTRA GÖTALANDS LÄN</t>
        </is>
      </c>
      <c r="E208" t="inlineStr">
        <is>
          <t>TROLLHÄTTAN</t>
        </is>
      </c>
      <c r="G208" t="n">
        <v>1.1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53401-2022</t>
        </is>
      </c>
      <c r="B209" s="1" t="n">
        <v>44879</v>
      </c>
      <c r="C209" s="1" t="n">
        <v>45837</v>
      </c>
      <c r="D209" t="inlineStr">
        <is>
          <t>VÄSTRA GÖTALANDS LÄN</t>
        </is>
      </c>
      <c r="E209" t="inlineStr">
        <is>
          <t>TROLLHÄTTAN</t>
        </is>
      </c>
      <c r="G209" t="n">
        <v>1.5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53429-2022</t>
        </is>
      </c>
      <c r="B210" s="1" t="n">
        <v>44879</v>
      </c>
      <c r="C210" s="1" t="n">
        <v>45837</v>
      </c>
      <c r="D210" t="inlineStr">
        <is>
          <t>VÄSTRA GÖTALANDS LÄN</t>
        </is>
      </c>
      <c r="E210" t="inlineStr">
        <is>
          <t>TROLLHÄTTAN</t>
        </is>
      </c>
      <c r="G210" t="n">
        <v>4.2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55303-2022</t>
        </is>
      </c>
      <c r="B211" s="1" t="n">
        <v>44887</v>
      </c>
      <c r="C211" s="1" t="n">
        <v>45837</v>
      </c>
      <c r="D211" t="inlineStr">
        <is>
          <t>VÄSTRA GÖTALANDS LÄN</t>
        </is>
      </c>
      <c r="E211" t="inlineStr">
        <is>
          <t>TROLLHÄTTAN</t>
        </is>
      </c>
      <c r="G211" t="n">
        <v>1.5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55476-2022</t>
        </is>
      </c>
      <c r="B212" s="1" t="n">
        <v>44887</v>
      </c>
      <c r="C212" s="1" t="n">
        <v>45837</v>
      </c>
      <c r="D212" t="inlineStr">
        <is>
          <t>VÄSTRA GÖTALANDS LÄN</t>
        </is>
      </c>
      <c r="E212" t="inlineStr">
        <is>
          <t>TROLLHÄTTAN</t>
        </is>
      </c>
      <c r="G212" t="n">
        <v>2.8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55480-2022</t>
        </is>
      </c>
      <c r="B213" s="1" t="n">
        <v>44887</v>
      </c>
      <c r="C213" s="1" t="n">
        <v>45837</v>
      </c>
      <c r="D213" t="inlineStr">
        <is>
          <t>VÄSTRA GÖTALANDS LÄN</t>
        </is>
      </c>
      <c r="E213" t="inlineStr">
        <is>
          <t>TROLLHÄTTAN</t>
        </is>
      </c>
      <c r="G213" t="n">
        <v>0.4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55478-2022</t>
        </is>
      </c>
      <c r="B214" s="1" t="n">
        <v>44887</v>
      </c>
      <c r="C214" s="1" t="n">
        <v>45837</v>
      </c>
      <c r="D214" t="inlineStr">
        <is>
          <t>VÄSTRA GÖTALANDS LÄN</t>
        </is>
      </c>
      <c r="E214" t="inlineStr">
        <is>
          <t>TROLLHÄTTAN</t>
        </is>
      </c>
      <c r="G214" t="n">
        <v>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55481-2022</t>
        </is>
      </c>
      <c r="B215" s="1" t="n">
        <v>44887</v>
      </c>
      <c r="C215" s="1" t="n">
        <v>45837</v>
      </c>
      <c r="D215" t="inlineStr">
        <is>
          <t>VÄSTRA GÖTALANDS LÄN</t>
        </is>
      </c>
      <c r="E215" t="inlineStr">
        <is>
          <t>TROLLHÄTTAN</t>
        </is>
      </c>
      <c r="G215" t="n">
        <v>2.4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55597-2022</t>
        </is>
      </c>
      <c r="B216" s="1" t="n">
        <v>44888</v>
      </c>
      <c r="C216" s="1" t="n">
        <v>45837</v>
      </c>
      <c r="D216" t="inlineStr">
        <is>
          <t>VÄSTRA GÖTALANDS LÄN</t>
        </is>
      </c>
      <c r="E216" t="inlineStr">
        <is>
          <t>TROLLHÄTTAN</t>
        </is>
      </c>
      <c r="G216" t="n">
        <v>3.2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56109-2022</t>
        </is>
      </c>
      <c r="B217" s="1" t="n">
        <v>44889</v>
      </c>
      <c r="C217" s="1" t="n">
        <v>45837</v>
      </c>
      <c r="D217" t="inlineStr">
        <is>
          <t>VÄSTRA GÖTALANDS LÄN</t>
        </is>
      </c>
      <c r="E217" t="inlineStr">
        <is>
          <t>TROLLHÄTTAN</t>
        </is>
      </c>
      <c r="G217" t="n">
        <v>1.7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56116-2022</t>
        </is>
      </c>
      <c r="B218" s="1" t="n">
        <v>44889</v>
      </c>
      <c r="C218" s="1" t="n">
        <v>45837</v>
      </c>
      <c r="D218" t="inlineStr">
        <is>
          <t>VÄSTRA GÖTALANDS LÄN</t>
        </is>
      </c>
      <c r="E218" t="inlineStr">
        <is>
          <t>TROLLHÄTTAN</t>
        </is>
      </c>
      <c r="G218" t="n">
        <v>2.2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57335-2022</t>
        </is>
      </c>
      <c r="B219" s="1" t="n">
        <v>44889</v>
      </c>
      <c r="C219" s="1" t="n">
        <v>45837</v>
      </c>
      <c r="D219" t="inlineStr">
        <is>
          <t>VÄSTRA GÖTALANDS LÄN</t>
        </is>
      </c>
      <c r="E219" t="inlineStr">
        <is>
          <t>TROLLHÄTTAN</t>
        </is>
      </c>
      <c r="G219" t="n">
        <v>6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57259-2022</t>
        </is>
      </c>
      <c r="B220" s="1" t="n">
        <v>44895</v>
      </c>
      <c r="C220" s="1" t="n">
        <v>45837</v>
      </c>
      <c r="D220" t="inlineStr">
        <is>
          <t>VÄSTRA GÖTALANDS LÄN</t>
        </is>
      </c>
      <c r="E220" t="inlineStr">
        <is>
          <t>TROLLHÄTTAN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57918-2022</t>
        </is>
      </c>
      <c r="B221" s="1" t="n">
        <v>44900</v>
      </c>
      <c r="C221" s="1" t="n">
        <v>45837</v>
      </c>
      <c r="D221" t="inlineStr">
        <is>
          <t>VÄSTRA GÖTALANDS LÄN</t>
        </is>
      </c>
      <c r="E221" t="inlineStr">
        <is>
          <t>TROLLHÄTTAN</t>
        </is>
      </c>
      <c r="G221" t="n">
        <v>3.2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58317-2022</t>
        </is>
      </c>
      <c r="B222" s="1" t="n">
        <v>44901</v>
      </c>
      <c r="C222" s="1" t="n">
        <v>45837</v>
      </c>
      <c r="D222" t="inlineStr">
        <is>
          <t>VÄSTRA GÖTALANDS LÄN</t>
        </is>
      </c>
      <c r="E222" t="inlineStr">
        <is>
          <t>TROLLHÄTTAN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58330-2022</t>
        </is>
      </c>
      <c r="B223" s="1" t="n">
        <v>44901</v>
      </c>
      <c r="C223" s="1" t="n">
        <v>45837</v>
      </c>
      <c r="D223" t="inlineStr">
        <is>
          <t>VÄSTRA GÖTALANDS LÄN</t>
        </is>
      </c>
      <c r="E223" t="inlineStr">
        <is>
          <t>TROLLHÄTTAN</t>
        </is>
      </c>
      <c r="G223" t="n">
        <v>2.1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59286-2022</t>
        </is>
      </c>
      <c r="B224" s="1" t="n">
        <v>44904</v>
      </c>
      <c r="C224" s="1" t="n">
        <v>45837</v>
      </c>
      <c r="D224" t="inlineStr">
        <is>
          <t>VÄSTRA GÖTALANDS LÄN</t>
        </is>
      </c>
      <c r="E224" t="inlineStr">
        <is>
          <t>TROLLHÄTTAN</t>
        </is>
      </c>
      <c r="G224" t="n">
        <v>1.7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59282-2022</t>
        </is>
      </c>
      <c r="B225" s="1" t="n">
        <v>44904</v>
      </c>
      <c r="C225" s="1" t="n">
        <v>45837</v>
      </c>
      <c r="D225" t="inlineStr">
        <is>
          <t>VÄSTRA GÖTALANDS LÄN</t>
        </is>
      </c>
      <c r="E225" t="inlineStr">
        <is>
          <t>TROLLHÄTTAN</t>
        </is>
      </c>
      <c r="G225" t="n">
        <v>1.2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60103-2022</t>
        </is>
      </c>
      <c r="B226" s="1" t="n">
        <v>44909</v>
      </c>
      <c r="C226" s="1" t="n">
        <v>45837</v>
      </c>
      <c r="D226" t="inlineStr">
        <is>
          <t>VÄSTRA GÖTALANDS LÄN</t>
        </is>
      </c>
      <c r="E226" t="inlineStr">
        <is>
          <t>TROLLHÄTTAN</t>
        </is>
      </c>
      <c r="G226" t="n">
        <v>1.1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61443-2022</t>
        </is>
      </c>
      <c r="B227" s="1" t="n">
        <v>44909</v>
      </c>
      <c r="C227" s="1" t="n">
        <v>45837</v>
      </c>
      <c r="D227" t="inlineStr">
        <is>
          <t>VÄSTRA GÖTALANDS LÄN</t>
        </is>
      </c>
      <c r="E227" t="inlineStr">
        <is>
          <t>TROLLHÄTTAN</t>
        </is>
      </c>
      <c r="G227" t="n">
        <v>3.2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62266-2022</t>
        </is>
      </c>
      <c r="B228" s="1" t="n">
        <v>44923</v>
      </c>
      <c r="C228" s="1" t="n">
        <v>45837</v>
      </c>
      <c r="D228" t="inlineStr">
        <is>
          <t>VÄSTRA GÖTALANDS LÄN</t>
        </is>
      </c>
      <c r="E228" t="inlineStr">
        <is>
          <t>TROLLHÄTTAN</t>
        </is>
      </c>
      <c r="G228" t="n">
        <v>0.6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62273-2022</t>
        </is>
      </c>
      <c r="B229" s="1" t="n">
        <v>44923</v>
      </c>
      <c r="C229" s="1" t="n">
        <v>45837</v>
      </c>
      <c r="D229" t="inlineStr">
        <is>
          <t>VÄSTRA GÖTALANDS LÄN</t>
        </is>
      </c>
      <c r="E229" t="inlineStr">
        <is>
          <t>TROLLHÄTTAN</t>
        </is>
      </c>
      <c r="G229" t="n">
        <v>1.8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62294-2022</t>
        </is>
      </c>
      <c r="B230" s="1" t="n">
        <v>44923</v>
      </c>
      <c r="C230" s="1" t="n">
        <v>45837</v>
      </c>
      <c r="D230" t="inlineStr">
        <is>
          <t>VÄSTRA GÖTALANDS LÄN</t>
        </is>
      </c>
      <c r="E230" t="inlineStr">
        <is>
          <t>TROLLHÄTTAN</t>
        </is>
      </c>
      <c r="G230" t="n">
        <v>0.6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62299-2022</t>
        </is>
      </c>
      <c r="B231" s="1" t="n">
        <v>44923</v>
      </c>
      <c r="C231" s="1" t="n">
        <v>45837</v>
      </c>
      <c r="D231" t="inlineStr">
        <is>
          <t>VÄSTRA GÖTALANDS LÄN</t>
        </is>
      </c>
      <c r="E231" t="inlineStr">
        <is>
          <t>TROLLHÄTTAN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855-2023</t>
        </is>
      </c>
      <c r="B232" s="1" t="n">
        <v>44931</v>
      </c>
      <c r="C232" s="1" t="n">
        <v>45837</v>
      </c>
      <c r="D232" t="inlineStr">
        <is>
          <t>VÄSTRA GÖTALANDS LÄN</t>
        </is>
      </c>
      <c r="E232" t="inlineStr">
        <is>
          <t>TROLLHÄTTAN</t>
        </is>
      </c>
      <c r="G232" t="n">
        <v>3.1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856-2023</t>
        </is>
      </c>
      <c r="B233" s="1" t="n">
        <v>44931</v>
      </c>
      <c r="C233" s="1" t="n">
        <v>45837</v>
      </c>
      <c r="D233" t="inlineStr">
        <is>
          <t>VÄSTRA GÖTALANDS LÄN</t>
        </is>
      </c>
      <c r="E233" t="inlineStr">
        <is>
          <t>TROLLHÄTTAN</t>
        </is>
      </c>
      <c r="G233" t="n">
        <v>1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1542-2023</t>
        </is>
      </c>
      <c r="B234" s="1" t="n">
        <v>44937</v>
      </c>
      <c r="C234" s="1" t="n">
        <v>45837</v>
      </c>
      <c r="D234" t="inlineStr">
        <is>
          <t>VÄSTRA GÖTALANDS LÄN</t>
        </is>
      </c>
      <c r="E234" t="inlineStr">
        <is>
          <t>TROLLHÄTTAN</t>
        </is>
      </c>
      <c r="G234" t="n">
        <v>8.5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1964-2023</t>
        </is>
      </c>
      <c r="B235" s="1" t="n">
        <v>44939</v>
      </c>
      <c r="C235" s="1" t="n">
        <v>45837</v>
      </c>
      <c r="D235" t="inlineStr">
        <is>
          <t>VÄSTRA GÖTALANDS LÄN</t>
        </is>
      </c>
      <c r="E235" t="inlineStr">
        <is>
          <t>TROLLHÄTTAN</t>
        </is>
      </c>
      <c r="G235" t="n">
        <v>4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3074-2023</t>
        </is>
      </c>
      <c r="B236" s="1" t="n">
        <v>44946</v>
      </c>
      <c r="C236" s="1" t="n">
        <v>45837</v>
      </c>
      <c r="D236" t="inlineStr">
        <is>
          <t>VÄSTRA GÖTALANDS LÄN</t>
        </is>
      </c>
      <c r="E236" t="inlineStr">
        <is>
          <t>TROLLHÄTTAN</t>
        </is>
      </c>
      <c r="G236" t="n">
        <v>6.1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3584-2023</t>
        </is>
      </c>
      <c r="B237" s="1" t="n">
        <v>44950</v>
      </c>
      <c r="C237" s="1" t="n">
        <v>45837</v>
      </c>
      <c r="D237" t="inlineStr">
        <is>
          <t>VÄSTRA GÖTALANDS LÄN</t>
        </is>
      </c>
      <c r="E237" t="inlineStr">
        <is>
          <t>TROLLHÄTTAN</t>
        </is>
      </c>
      <c r="G237" t="n">
        <v>2.5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4653-2023</t>
        </is>
      </c>
      <c r="B238" s="1" t="n">
        <v>44957</v>
      </c>
      <c r="C238" s="1" t="n">
        <v>45837</v>
      </c>
      <c r="D238" t="inlineStr">
        <is>
          <t>VÄSTRA GÖTALANDS LÄN</t>
        </is>
      </c>
      <c r="E238" t="inlineStr">
        <is>
          <t>TROLLHÄTTAN</t>
        </is>
      </c>
      <c r="G238" t="n">
        <v>14.8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5069-2023</t>
        </is>
      </c>
      <c r="B239" s="1" t="n">
        <v>44958</v>
      </c>
      <c r="C239" s="1" t="n">
        <v>45837</v>
      </c>
      <c r="D239" t="inlineStr">
        <is>
          <t>VÄSTRA GÖTALANDS LÄN</t>
        </is>
      </c>
      <c r="E239" t="inlineStr">
        <is>
          <t>TROLLHÄTTAN</t>
        </is>
      </c>
      <c r="G239" t="n">
        <v>2.1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5627-2023</t>
        </is>
      </c>
      <c r="B240" s="1" t="n">
        <v>44960</v>
      </c>
      <c r="C240" s="1" t="n">
        <v>45837</v>
      </c>
      <c r="D240" t="inlineStr">
        <is>
          <t>VÄSTRA GÖTALANDS LÄN</t>
        </is>
      </c>
      <c r="E240" t="inlineStr">
        <is>
          <t>TROLLHÄTTAN</t>
        </is>
      </c>
      <c r="G240" t="n">
        <v>6.4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5631-2023</t>
        </is>
      </c>
      <c r="B241" s="1" t="n">
        <v>44960</v>
      </c>
      <c r="C241" s="1" t="n">
        <v>45837</v>
      </c>
      <c r="D241" t="inlineStr">
        <is>
          <t>VÄSTRA GÖTALANDS LÄN</t>
        </is>
      </c>
      <c r="E241" t="inlineStr">
        <is>
          <t>TROLLHÄTTAN</t>
        </is>
      </c>
      <c r="G241" t="n">
        <v>3.3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5633-2023</t>
        </is>
      </c>
      <c r="B242" s="1" t="n">
        <v>44960</v>
      </c>
      <c r="C242" s="1" t="n">
        <v>45837</v>
      </c>
      <c r="D242" t="inlineStr">
        <is>
          <t>VÄSTRA GÖTALANDS LÄN</t>
        </is>
      </c>
      <c r="E242" t="inlineStr">
        <is>
          <t>TROLLHÄTTAN</t>
        </is>
      </c>
      <c r="G242" t="n">
        <v>1.8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6251-2023</t>
        </is>
      </c>
      <c r="B243" s="1" t="n">
        <v>44965</v>
      </c>
      <c r="C243" s="1" t="n">
        <v>45837</v>
      </c>
      <c r="D243" t="inlineStr">
        <is>
          <t>VÄSTRA GÖTALANDS LÄN</t>
        </is>
      </c>
      <c r="E243" t="inlineStr">
        <is>
          <t>TROLLHÄTTAN</t>
        </is>
      </c>
      <c r="G243" t="n">
        <v>15.4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7203-2023</t>
        </is>
      </c>
      <c r="B244" s="1" t="n">
        <v>44970</v>
      </c>
      <c r="C244" s="1" t="n">
        <v>45837</v>
      </c>
      <c r="D244" t="inlineStr">
        <is>
          <t>VÄSTRA GÖTALANDS LÄN</t>
        </is>
      </c>
      <c r="E244" t="inlineStr">
        <is>
          <t>TROLLHÄTTAN</t>
        </is>
      </c>
      <c r="G244" t="n">
        <v>12.9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7730-2023</t>
        </is>
      </c>
      <c r="B245" s="1" t="n">
        <v>44973</v>
      </c>
      <c r="C245" s="1" t="n">
        <v>45837</v>
      </c>
      <c r="D245" t="inlineStr">
        <is>
          <t>VÄSTRA GÖTALANDS LÄN</t>
        </is>
      </c>
      <c r="E245" t="inlineStr">
        <is>
          <t>TROLLHÄTTAN</t>
        </is>
      </c>
      <c r="G245" t="n">
        <v>1.3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7781-2023</t>
        </is>
      </c>
      <c r="B246" s="1" t="n">
        <v>44973</v>
      </c>
      <c r="C246" s="1" t="n">
        <v>45837</v>
      </c>
      <c r="D246" t="inlineStr">
        <is>
          <t>VÄSTRA GÖTALANDS LÄN</t>
        </is>
      </c>
      <c r="E246" t="inlineStr">
        <is>
          <t>TROLLHÄTTAN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7783-2023</t>
        </is>
      </c>
      <c r="B247" s="1" t="n">
        <v>44973</v>
      </c>
      <c r="C247" s="1" t="n">
        <v>45837</v>
      </c>
      <c r="D247" t="inlineStr">
        <is>
          <t>VÄSTRA GÖTALANDS LÄN</t>
        </is>
      </c>
      <c r="E247" t="inlineStr">
        <is>
          <t>TROLLHÄTTAN</t>
        </is>
      </c>
      <c r="G247" t="n">
        <v>1.2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9606-2023</t>
        </is>
      </c>
      <c r="B248" s="1" t="n">
        <v>44983</v>
      </c>
      <c r="C248" s="1" t="n">
        <v>45837</v>
      </c>
      <c r="D248" t="inlineStr">
        <is>
          <t>VÄSTRA GÖTALANDS LÄN</t>
        </is>
      </c>
      <c r="E248" t="inlineStr">
        <is>
          <t>TROLLHÄTTAN</t>
        </is>
      </c>
      <c r="G248" t="n">
        <v>4.2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11171-2023</t>
        </is>
      </c>
      <c r="B249" s="1" t="n">
        <v>44992</v>
      </c>
      <c r="C249" s="1" t="n">
        <v>45837</v>
      </c>
      <c r="D249" t="inlineStr">
        <is>
          <t>VÄSTRA GÖTALANDS LÄN</t>
        </is>
      </c>
      <c r="E249" t="inlineStr">
        <is>
          <t>TROLLHÄTTAN</t>
        </is>
      </c>
      <c r="G249" t="n">
        <v>1.7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12655-2023</t>
        </is>
      </c>
      <c r="B250" s="1" t="n">
        <v>45000</v>
      </c>
      <c r="C250" s="1" t="n">
        <v>45837</v>
      </c>
      <c r="D250" t="inlineStr">
        <is>
          <t>VÄSTRA GÖTALANDS LÄN</t>
        </is>
      </c>
      <c r="E250" t="inlineStr">
        <is>
          <t>TROLLHÄTTAN</t>
        </is>
      </c>
      <c r="G250" t="n">
        <v>1.3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12830-2023</t>
        </is>
      </c>
      <c r="B251" s="1" t="n">
        <v>45001</v>
      </c>
      <c r="C251" s="1" t="n">
        <v>45837</v>
      </c>
      <c r="D251" t="inlineStr">
        <is>
          <t>VÄSTRA GÖTALANDS LÄN</t>
        </is>
      </c>
      <c r="E251" t="inlineStr">
        <is>
          <t>TROLLHÄTTAN</t>
        </is>
      </c>
      <c r="G251" t="n">
        <v>20.9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12848-2023</t>
        </is>
      </c>
      <c r="B252" s="1" t="n">
        <v>45001</v>
      </c>
      <c r="C252" s="1" t="n">
        <v>45837</v>
      </c>
      <c r="D252" t="inlineStr">
        <is>
          <t>VÄSTRA GÖTALANDS LÄN</t>
        </is>
      </c>
      <c r="E252" t="inlineStr">
        <is>
          <t>TROLLHÄTTAN</t>
        </is>
      </c>
      <c r="G252" t="n">
        <v>9.5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13114-2023</t>
        </is>
      </c>
      <c r="B253" s="1" t="n">
        <v>45002</v>
      </c>
      <c r="C253" s="1" t="n">
        <v>45837</v>
      </c>
      <c r="D253" t="inlineStr">
        <is>
          <t>VÄSTRA GÖTALANDS LÄN</t>
        </is>
      </c>
      <c r="E253" t="inlineStr">
        <is>
          <t>TROLLHÄTTAN</t>
        </is>
      </c>
      <c r="G253" t="n">
        <v>3.1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13119-2023</t>
        </is>
      </c>
      <c r="B254" s="1" t="n">
        <v>45002</v>
      </c>
      <c r="C254" s="1" t="n">
        <v>45837</v>
      </c>
      <c r="D254" t="inlineStr">
        <is>
          <t>VÄSTRA GÖTALANDS LÄN</t>
        </is>
      </c>
      <c r="E254" t="inlineStr">
        <is>
          <t>TROLLHÄTTAN</t>
        </is>
      </c>
      <c r="G254" t="n">
        <v>2.6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13111-2023</t>
        </is>
      </c>
      <c r="B255" s="1" t="n">
        <v>45002</v>
      </c>
      <c r="C255" s="1" t="n">
        <v>45837</v>
      </c>
      <c r="D255" t="inlineStr">
        <is>
          <t>VÄSTRA GÖTALANDS LÄN</t>
        </is>
      </c>
      <c r="E255" t="inlineStr">
        <is>
          <t>TROLLHÄTTAN</t>
        </is>
      </c>
      <c r="G255" t="n">
        <v>0.6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13438-2023</t>
        </is>
      </c>
      <c r="B256" s="1" t="n">
        <v>45005</v>
      </c>
      <c r="C256" s="1" t="n">
        <v>45837</v>
      </c>
      <c r="D256" t="inlineStr">
        <is>
          <t>VÄSTRA GÖTALANDS LÄN</t>
        </is>
      </c>
      <c r="E256" t="inlineStr">
        <is>
          <t>TROLLHÄTTAN</t>
        </is>
      </c>
      <c r="G256" t="n">
        <v>2.5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15000-2023</t>
        </is>
      </c>
      <c r="B257" s="1" t="n">
        <v>45015</v>
      </c>
      <c r="C257" s="1" t="n">
        <v>45837</v>
      </c>
      <c r="D257" t="inlineStr">
        <is>
          <t>VÄSTRA GÖTALANDS LÄN</t>
        </is>
      </c>
      <c r="E257" t="inlineStr">
        <is>
          <t>TROLLHÄTTAN</t>
        </is>
      </c>
      <c r="G257" t="n">
        <v>2.4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15181-2023</t>
        </is>
      </c>
      <c r="B258" s="1" t="n">
        <v>45016</v>
      </c>
      <c r="C258" s="1" t="n">
        <v>45837</v>
      </c>
      <c r="D258" t="inlineStr">
        <is>
          <t>VÄSTRA GÖTALANDS LÄN</t>
        </is>
      </c>
      <c r="E258" t="inlineStr">
        <is>
          <t>TROLLHÄTTAN</t>
        </is>
      </c>
      <c r="G258" t="n">
        <v>4.9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15643-2023</t>
        </is>
      </c>
      <c r="B259" s="1" t="n">
        <v>45021</v>
      </c>
      <c r="C259" s="1" t="n">
        <v>45837</v>
      </c>
      <c r="D259" t="inlineStr">
        <is>
          <t>VÄSTRA GÖTALANDS LÄN</t>
        </is>
      </c>
      <c r="E259" t="inlineStr">
        <is>
          <t>TROLLHÄTTAN</t>
        </is>
      </c>
      <c r="G259" t="n">
        <v>4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15705-2023</t>
        </is>
      </c>
      <c r="B260" s="1" t="n">
        <v>45021</v>
      </c>
      <c r="C260" s="1" t="n">
        <v>45837</v>
      </c>
      <c r="D260" t="inlineStr">
        <is>
          <t>VÄSTRA GÖTALANDS LÄN</t>
        </is>
      </c>
      <c r="E260" t="inlineStr">
        <is>
          <t>TROLLHÄTTAN</t>
        </is>
      </c>
      <c r="G260" t="n">
        <v>0.9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15704-2023</t>
        </is>
      </c>
      <c r="B261" s="1" t="n">
        <v>45021</v>
      </c>
      <c r="C261" s="1" t="n">
        <v>45837</v>
      </c>
      <c r="D261" t="inlineStr">
        <is>
          <t>VÄSTRA GÖTALANDS LÄN</t>
        </is>
      </c>
      <c r="E261" t="inlineStr">
        <is>
          <t>TROLLHÄTTAN</t>
        </is>
      </c>
      <c r="G261" t="n">
        <v>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16091-2023</t>
        </is>
      </c>
      <c r="B262" s="1" t="n">
        <v>45027</v>
      </c>
      <c r="C262" s="1" t="n">
        <v>45837</v>
      </c>
      <c r="D262" t="inlineStr">
        <is>
          <t>VÄSTRA GÖTALANDS LÄN</t>
        </is>
      </c>
      <c r="E262" t="inlineStr">
        <is>
          <t>TROLLHÄTTAN</t>
        </is>
      </c>
      <c r="G262" t="n">
        <v>3.8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16487-2023</t>
        </is>
      </c>
      <c r="B263" s="1" t="n">
        <v>45029</v>
      </c>
      <c r="C263" s="1" t="n">
        <v>45837</v>
      </c>
      <c r="D263" t="inlineStr">
        <is>
          <t>VÄSTRA GÖTALANDS LÄN</t>
        </is>
      </c>
      <c r="E263" t="inlineStr">
        <is>
          <t>TROLLHÄTTAN</t>
        </is>
      </c>
      <c r="G263" t="n">
        <v>0.9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16475-2023</t>
        </is>
      </c>
      <c r="B264" s="1" t="n">
        <v>45029</v>
      </c>
      <c r="C264" s="1" t="n">
        <v>45837</v>
      </c>
      <c r="D264" t="inlineStr">
        <is>
          <t>VÄSTRA GÖTALANDS LÄN</t>
        </is>
      </c>
      <c r="E264" t="inlineStr">
        <is>
          <t>TROLLHÄTTAN</t>
        </is>
      </c>
      <c r="G264" t="n">
        <v>1.1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16473-2023</t>
        </is>
      </c>
      <c r="B265" s="1" t="n">
        <v>45029</v>
      </c>
      <c r="C265" s="1" t="n">
        <v>45837</v>
      </c>
      <c r="D265" t="inlineStr">
        <is>
          <t>VÄSTRA GÖTALANDS LÄN</t>
        </is>
      </c>
      <c r="E265" t="inlineStr">
        <is>
          <t>TROLLHÄTTAN</t>
        </is>
      </c>
      <c r="G265" t="n">
        <v>5.5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17143-2023</t>
        </is>
      </c>
      <c r="B266" s="1" t="n">
        <v>45034</v>
      </c>
      <c r="C266" s="1" t="n">
        <v>45837</v>
      </c>
      <c r="D266" t="inlineStr">
        <is>
          <t>VÄSTRA GÖTALANDS LÄN</t>
        </is>
      </c>
      <c r="E266" t="inlineStr">
        <is>
          <t>TROLLHÄTTAN</t>
        </is>
      </c>
      <c r="G266" t="n">
        <v>3.5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18914-2023</t>
        </is>
      </c>
      <c r="B267" s="1" t="n">
        <v>45044</v>
      </c>
      <c r="C267" s="1" t="n">
        <v>45837</v>
      </c>
      <c r="D267" t="inlineStr">
        <is>
          <t>VÄSTRA GÖTALANDS LÄN</t>
        </is>
      </c>
      <c r="E267" t="inlineStr">
        <is>
          <t>TROLLHÄTTAN</t>
        </is>
      </c>
      <c r="G267" t="n">
        <v>7.3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18905-2023</t>
        </is>
      </c>
      <c r="B268" s="1" t="n">
        <v>45044</v>
      </c>
      <c r="C268" s="1" t="n">
        <v>45837</v>
      </c>
      <c r="D268" t="inlineStr">
        <is>
          <t>VÄSTRA GÖTALANDS LÄN</t>
        </is>
      </c>
      <c r="E268" t="inlineStr">
        <is>
          <t>TROLLHÄTTAN</t>
        </is>
      </c>
      <c r="G268" t="n">
        <v>2.5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19048-2023</t>
        </is>
      </c>
      <c r="B269" s="1" t="n">
        <v>45047</v>
      </c>
      <c r="C269" s="1" t="n">
        <v>45837</v>
      </c>
      <c r="D269" t="inlineStr">
        <is>
          <t>VÄSTRA GÖTALANDS LÄN</t>
        </is>
      </c>
      <c r="E269" t="inlineStr">
        <is>
          <t>TROLLHÄTTAN</t>
        </is>
      </c>
      <c r="G269" t="n">
        <v>12.5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20762-2023</t>
        </is>
      </c>
      <c r="B270" s="1" t="n">
        <v>45058</v>
      </c>
      <c r="C270" s="1" t="n">
        <v>45837</v>
      </c>
      <c r="D270" t="inlineStr">
        <is>
          <t>VÄSTRA GÖTALANDS LÄN</t>
        </is>
      </c>
      <c r="E270" t="inlineStr">
        <is>
          <t>TROLLHÄTTAN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21363-2023</t>
        </is>
      </c>
      <c r="B271" s="1" t="n">
        <v>45063</v>
      </c>
      <c r="C271" s="1" t="n">
        <v>45837</v>
      </c>
      <c r="D271" t="inlineStr">
        <is>
          <t>VÄSTRA GÖTALANDS LÄN</t>
        </is>
      </c>
      <c r="E271" t="inlineStr">
        <is>
          <t>TROLLHÄTTAN</t>
        </is>
      </c>
      <c r="G271" t="n">
        <v>4.2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22128-2023</t>
        </is>
      </c>
      <c r="B272" s="1" t="n">
        <v>45069</v>
      </c>
      <c r="C272" s="1" t="n">
        <v>45837</v>
      </c>
      <c r="D272" t="inlineStr">
        <is>
          <t>VÄSTRA GÖTALANDS LÄN</t>
        </is>
      </c>
      <c r="E272" t="inlineStr">
        <is>
          <t>TROLLHÄTTAN</t>
        </is>
      </c>
      <c r="F272" t="inlineStr">
        <is>
          <t>Kommuner</t>
        </is>
      </c>
      <c r="G272" t="n">
        <v>0.7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23175-2023</t>
        </is>
      </c>
      <c r="B273" s="1" t="n">
        <v>45075</v>
      </c>
      <c r="C273" s="1" t="n">
        <v>45837</v>
      </c>
      <c r="D273" t="inlineStr">
        <is>
          <t>VÄSTRA GÖTALANDS LÄN</t>
        </is>
      </c>
      <c r="E273" t="inlineStr">
        <is>
          <t>TROLLHÄTTAN</t>
        </is>
      </c>
      <c r="G273" t="n">
        <v>2.7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23451-2023</t>
        </is>
      </c>
      <c r="B274" s="1" t="n">
        <v>45076</v>
      </c>
      <c r="C274" s="1" t="n">
        <v>45837</v>
      </c>
      <c r="D274" t="inlineStr">
        <is>
          <t>VÄSTRA GÖTALANDS LÄN</t>
        </is>
      </c>
      <c r="E274" t="inlineStr">
        <is>
          <t>TROLLHÄTTAN</t>
        </is>
      </c>
      <c r="F274" t="inlineStr">
        <is>
          <t>Kommuner</t>
        </is>
      </c>
      <c r="G274" t="n">
        <v>0.6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28224-2023</t>
        </is>
      </c>
      <c r="B275" s="1" t="n">
        <v>45099</v>
      </c>
      <c r="C275" s="1" t="n">
        <v>45837</v>
      </c>
      <c r="D275" t="inlineStr">
        <is>
          <t>VÄSTRA GÖTALANDS LÄN</t>
        </is>
      </c>
      <c r="E275" t="inlineStr">
        <is>
          <t>TROLLHÄTTAN</t>
        </is>
      </c>
      <c r="G275" t="n">
        <v>4.8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28214-2023</t>
        </is>
      </c>
      <c r="B276" s="1" t="n">
        <v>45099</v>
      </c>
      <c r="C276" s="1" t="n">
        <v>45837</v>
      </c>
      <c r="D276" t="inlineStr">
        <is>
          <t>VÄSTRA GÖTALANDS LÄN</t>
        </is>
      </c>
      <c r="E276" t="inlineStr">
        <is>
          <t>TROLLHÄTTAN</t>
        </is>
      </c>
      <c r="G276" t="n">
        <v>0.8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28217-2023</t>
        </is>
      </c>
      <c r="B277" s="1" t="n">
        <v>45099</v>
      </c>
      <c r="C277" s="1" t="n">
        <v>45837</v>
      </c>
      <c r="D277" t="inlineStr">
        <is>
          <t>VÄSTRA GÖTALANDS LÄN</t>
        </is>
      </c>
      <c r="E277" t="inlineStr">
        <is>
          <t>TROLLHÄTTAN</t>
        </is>
      </c>
      <c r="G277" t="n">
        <v>2.7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29658-2023</t>
        </is>
      </c>
      <c r="B278" s="1" t="n">
        <v>45107</v>
      </c>
      <c r="C278" s="1" t="n">
        <v>45837</v>
      </c>
      <c r="D278" t="inlineStr">
        <is>
          <t>VÄSTRA GÖTALANDS LÄN</t>
        </is>
      </c>
      <c r="E278" t="inlineStr">
        <is>
          <t>TROLLHÄTTAN</t>
        </is>
      </c>
      <c r="G278" t="n">
        <v>4.3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29657-2023</t>
        </is>
      </c>
      <c r="B279" s="1" t="n">
        <v>45107</v>
      </c>
      <c r="C279" s="1" t="n">
        <v>45837</v>
      </c>
      <c r="D279" t="inlineStr">
        <is>
          <t>VÄSTRA GÖTALANDS LÄN</t>
        </is>
      </c>
      <c r="E279" t="inlineStr">
        <is>
          <t>TROLLHÄTTAN</t>
        </is>
      </c>
      <c r="G279" t="n">
        <v>7.6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30158-2023</t>
        </is>
      </c>
      <c r="B280" s="1" t="n">
        <v>45110</v>
      </c>
      <c r="C280" s="1" t="n">
        <v>45837</v>
      </c>
      <c r="D280" t="inlineStr">
        <is>
          <t>VÄSTRA GÖTALANDS LÄN</t>
        </is>
      </c>
      <c r="E280" t="inlineStr">
        <is>
          <t>TROLLHÄTTAN</t>
        </is>
      </c>
      <c r="G280" t="n">
        <v>5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30197-2023</t>
        </is>
      </c>
      <c r="B281" s="1" t="n">
        <v>45110</v>
      </c>
      <c r="C281" s="1" t="n">
        <v>45837</v>
      </c>
      <c r="D281" t="inlineStr">
        <is>
          <t>VÄSTRA GÖTALANDS LÄN</t>
        </is>
      </c>
      <c r="E281" t="inlineStr">
        <is>
          <t>TROLLHÄTTAN</t>
        </is>
      </c>
      <c r="G281" t="n">
        <v>4.2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31061-2023</t>
        </is>
      </c>
      <c r="B282" s="1" t="n">
        <v>45113</v>
      </c>
      <c r="C282" s="1" t="n">
        <v>45837</v>
      </c>
      <c r="D282" t="inlineStr">
        <is>
          <t>VÄSTRA GÖTALANDS LÄN</t>
        </is>
      </c>
      <c r="E282" t="inlineStr">
        <is>
          <t>TROLLHÄTTAN</t>
        </is>
      </c>
      <c r="G282" t="n">
        <v>1.6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34174-2023</t>
        </is>
      </c>
      <c r="B283" s="1" t="n">
        <v>45138</v>
      </c>
      <c r="C283" s="1" t="n">
        <v>45837</v>
      </c>
      <c r="D283" t="inlineStr">
        <is>
          <t>VÄSTRA GÖTALANDS LÄN</t>
        </is>
      </c>
      <c r="E283" t="inlineStr">
        <is>
          <t>TROLLHÄTTAN</t>
        </is>
      </c>
      <c r="G283" t="n">
        <v>1.1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34206-2023</t>
        </is>
      </c>
      <c r="B284" s="1" t="n">
        <v>45138</v>
      </c>
      <c r="C284" s="1" t="n">
        <v>45837</v>
      </c>
      <c r="D284" t="inlineStr">
        <is>
          <t>VÄSTRA GÖTALANDS LÄN</t>
        </is>
      </c>
      <c r="E284" t="inlineStr">
        <is>
          <t>TROLLHÄTTAN</t>
        </is>
      </c>
      <c r="G284" t="n">
        <v>0.6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34204-2023</t>
        </is>
      </c>
      <c r="B285" s="1" t="n">
        <v>45138</v>
      </c>
      <c r="C285" s="1" t="n">
        <v>45837</v>
      </c>
      <c r="D285" t="inlineStr">
        <is>
          <t>VÄSTRA GÖTALANDS LÄN</t>
        </is>
      </c>
      <c r="E285" t="inlineStr">
        <is>
          <t>TROLLHÄTTAN</t>
        </is>
      </c>
      <c r="G285" t="n">
        <v>0.7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34356-2023</t>
        </is>
      </c>
      <c r="B286" s="1" t="n">
        <v>45139</v>
      </c>
      <c r="C286" s="1" t="n">
        <v>45837</v>
      </c>
      <c r="D286" t="inlineStr">
        <is>
          <t>VÄSTRA GÖTALANDS LÄN</t>
        </is>
      </c>
      <c r="E286" t="inlineStr">
        <is>
          <t>TROLLHÄTTAN</t>
        </is>
      </c>
      <c r="G286" t="n">
        <v>6.7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34909-2023</t>
        </is>
      </c>
      <c r="B287" s="1" t="n">
        <v>45141</v>
      </c>
      <c r="C287" s="1" t="n">
        <v>45837</v>
      </c>
      <c r="D287" t="inlineStr">
        <is>
          <t>VÄSTRA GÖTALANDS LÄN</t>
        </is>
      </c>
      <c r="E287" t="inlineStr">
        <is>
          <t>TROLLHÄTTAN</t>
        </is>
      </c>
      <c r="G287" t="n">
        <v>2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37371-2023</t>
        </is>
      </c>
      <c r="B288" s="1" t="n">
        <v>45156</v>
      </c>
      <c r="C288" s="1" t="n">
        <v>45837</v>
      </c>
      <c r="D288" t="inlineStr">
        <is>
          <t>VÄSTRA GÖTALANDS LÄN</t>
        </is>
      </c>
      <c r="E288" t="inlineStr">
        <is>
          <t>TROLLHÄTTAN</t>
        </is>
      </c>
      <c r="G288" t="n">
        <v>2.1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37369-2023</t>
        </is>
      </c>
      <c r="B289" s="1" t="n">
        <v>45156</v>
      </c>
      <c r="C289" s="1" t="n">
        <v>45837</v>
      </c>
      <c r="D289" t="inlineStr">
        <is>
          <t>VÄSTRA GÖTALANDS LÄN</t>
        </is>
      </c>
      <c r="E289" t="inlineStr">
        <is>
          <t>TROLLHÄTTAN</t>
        </is>
      </c>
      <c r="G289" t="n">
        <v>3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37860-2023</t>
        </is>
      </c>
      <c r="B290" s="1" t="n">
        <v>45160</v>
      </c>
      <c r="C290" s="1" t="n">
        <v>45837</v>
      </c>
      <c r="D290" t="inlineStr">
        <is>
          <t>VÄSTRA GÖTALANDS LÄN</t>
        </is>
      </c>
      <c r="E290" t="inlineStr">
        <is>
          <t>TROLLHÄTTAN</t>
        </is>
      </c>
      <c r="G290" t="n">
        <v>4.9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39297-2023</t>
        </is>
      </c>
      <c r="B291" s="1" t="n">
        <v>45162</v>
      </c>
      <c r="C291" s="1" t="n">
        <v>45837</v>
      </c>
      <c r="D291" t="inlineStr">
        <is>
          <t>VÄSTRA GÖTALANDS LÄN</t>
        </is>
      </c>
      <c r="E291" t="inlineStr">
        <is>
          <t>TROLLHÄTTAN</t>
        </is>
      </c>
      <c r="F291" t="inlineStr">
        <is>
          <t>Kyrkan</t>
        </is>
      </c>
      <c r="G291" t="n">
        <v>0.6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39289-2023</t>
        </is>
      </c>
      <c r="B292" s="1" t="n">
        <v>45162</v>
      </c>
      <c r="C292" s="1" t="n">
        <v>45837</v>
      </c>
      <c r="D292" t="inlineStr">
        <is>
          <t>VÄSTRA GÖTALANDS LÄN</t>
        </is>
      </c>
      <c r="E292" t="inlineStr">
        <is>
          <t>TROLLHÄTTAN</t>
        </is>
      </c>
      <c r="F292" t="inlineStr">
        <is>
          <t>Kyrkan</t>
        </is>
      </c>
      <c r="G292" t="n">
        <v>9.800000000000001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39301-2023</t>
        </is>
      </c>
      <c r="B293" s="1" t="n">
        <v>45162</v>
      </c>
      <c r="C293" s="1" t="n">
        <v>45837</v>
      </c>
      <c r="D293" t="inlineStr">
        <is>
          <t>VÄSTRA GÖTALANDS LÄN</t>
        </is>
      </c>
      <c r="E293" t="inlineStr">
        <is>
          <t>TROLLHÄTTAN</t>
        </is>
      </c>
      <c r="F293" t="inlineStr">
        <is>
          <t>Kyrkan</t>
        </is>
      </c>
      <c r="G293" t="n">
        <v>3.3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39282-2023</t>
        </is>
      </c>
      <c r="B294" s="1" t="n">
        <v>45162</v>
      </c>
      <c r="C294" s="1" t="n">
        <v>45837</v>
      </c>
      <c r="D294" t="inlineStr">
        <is>
          <t>VÄSTRA GÖTALANDS LÄN</t>
        </is>
      </c>
      <c r="E294" t="inlineStr">
        <is>
          <t>TROLLHÄTTAN</t>
        </is>
      </c>
      <c r="F294" t="inlineStr">
        <is>
          <t>Kyrkan</t>
        </is>
      </c>
      <c r="G294" t="n">
        <v>0.9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38941-2023</t>
        </is>
      </c>
      <c r="B295" s="1" t="n">
        <v>45163</v>
      </c>
      <c r="C295" s="1" t="n">
        <v>45837</v>
      </c>
      <c r="D295" t="inlineStr">
        <is>
          <t>VÄSTRA GÖTALANDS LÄN</t>
        </is>
      </c>
      <c r="E295" t="inlineStr">
        <is>
          <t>TROLLHÄTTAN</t>
        </is>
      </c>
      <c r="G295" t="n">
        <v>1.7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41015-2023</t>
        </is>
      </c>
      <c r="B296" s="1" t="n">
        <v>45173</v>
      </c>
      <c r="C296" s="1" t="n">
        <v>45837</v>
      </c>
      <c r="D296" t="inlineStr">
        <is>
          <t>VÄSTRA GÖTALANDS LÄN</t>
        </is>
      </c>
      <c r="E296" t="inlineStr">
        <is>
          <t>TROLLHÄTTAN</t>
        </is>
      </c>
      <c r="G296" t="n">
        <v>3.7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42900-2023</t>
        </is>
      </c>
      <c r="B297" s="1" t="n">
        <v>45182</v>
      </c>
      <c r="C297" s="1" t="n">
        <v>45837</v>
      </c>
      <c r="D297" t="inlineStr">
        <is>
          <t>VÄSTRA GÖTALANDS LÄN</t>
        </is>
      </c>
      <c r="E297" t="inlineStr">
        <is>
          <t>TROLLHÄTTAN</t>
        </is>
      </c>
      <c r="G297" t="n">
        <v>2.4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44473-2023</t>
        </is>
      </c>
      <c r="B298" s="1" t="n">
        <v>45183</v>
      </c>
      <c r="C298" s="1" t="n">
        <v>45837</v>
      </c>
      <c r="D298" t="inlineStr">
        <is>
          <t>VÄSTRA GÖTALANDS LÄN</t>
        </is>
      </c>
      <c r="E298" t="inlineStr">
        <is>
          <t>TROLLHÄTTAN</t>
        </is>
      </c>
      <c r="G298" t="n">
        <v>4.7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44708-2023</t>
        </is>
      </c>
      <c r="B299" s="1" t="n">
        <v>45190</v>
      </c>
      <c r="C299" s="1" t="n">
        <v>45837</v>
      </c>
      <c r="D299" t="inlineStr">
        <is>
          <t>VÄSTRA GÖTALANDS LÄN</t>
        </is>
      </c>
      <c r="E299" t="inlineStr">
        <is>
          <t>TROLLHÄTTAN</t>
        </is>
      </c>
      <c r="G299" t="n">
        <v>3.6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45519-2023</t>
        </is>
      </c>
      <c r="B300" s="1" t="n">
        <v>45194</v>
      </c>
      <c r="C300" s="1" t="n">
        <v>45837</v>
      </c>
      <c r="D300" t="inlineStr">
        <is>
          <t>VÄSTRA GÖTALANDS LÄN</t>
        </is>
      </c>
      <c r="E300" t="inlineStr">
        <is>
          <t>TROLLHÄTTAN</t>
        </is>
      </c>
      <c r="G300" t="n">
        <v>4.5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47507-2023</t>
        </is>
      </c>
      <c r="B301" s="1" t="n">
        <v>45203</v>
      </c>
      <c r="C301" s="1" t="n">
        <v>45837</v>
      </c>
      <c r="D301" t="inlineStr">
        <is>
          <t>VÄSTRA GÖTALANDS LÄN</t>
        </is>
      </c>
      <c r="E301" t="inlineStr">
        <is>
          <t>TROLLHÄTTAN</t>
        </is>
      </c>
      <c r="G301" t="n">
        <v>1.8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51086-2023</t>
        </is>
      </c>
      <c r="B302" s="1" t="n">
        <v>45218</v>
      </c>
      <c r="C302" s="1" t="n">
        <v>45837</v>
      </c>
      <c r="D302" t="inlineStr">
        <is>
          <t>VÄSTRA GÖTALANDS LÄN</t>
        </is>
      </c>
      <c r="E302" t="inlineStr">
        <is>
          <t>TROLLHÄTTAN</t>
        </is>
      </c>
      <c r="G302" t="n">
        <v>9.300000000000001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52511-2023</t>
        </is>
      </c>
      <c r="B303" s="1" t="n">
        <v>45225</v>
      </c>
      <c r="C303" s="1" t="n">
        <v>45837</v>
      </c>
      <c r="D303" t="inlineStr">
        <is>
          <t>VÄSTRA GÖTALANDS LÄN</t>
        </is>
      </c>
      <c r="E303" t="inlineStr">
        <is>
          <t>TROLLHÄTTAN</t>
        </is>
      </c>
      <c r="G303" t="n">
        <v>3.3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53190-2023</t>
        </is>
      </c>
      <c r="B304" s="1" t="n">
        <v>45229</v>
      </c>
      <c r="C304" s="1" t="n">
        <v>45837</v>
      </c>
      <c r="D304" t="inlineStr">
        <is>
          <t>VÄSTRA GÖTALANDS LÄN</t>
        </is>
      </c>
      <c r="E304" t="inlineStr">
        <is>
          <t>TROLLHÄTTAN</t>
        </is>
      </c>
      <c r="G304" t="n">
        <v>1.1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53187-2023</t>
        </is>
      </c>
      <c r="B305" s="1" t="n">
        <v>45229</v>
      </c>
      <c r="C305" s="1" t="n">
        <v>45837</v>
      </c>
      <c r="D305" t="inlineStr">
        <is>
          <t>VÄSTRA GÖTALANDS LÄN</t>
        </is>
      </c>
      <c r="E305" t="inlineStr">
        <is>
          <t>TROLLHÄTTAN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53193-2023</t>
        </is>
      </c>
      <c r="B306" s="1" t="n">
        <v>45229</v>
      </c>
      <c r="C306" s="1" t="n">
        <v>45837</v>
      </c>
      <c r="D306" t="inlineStr">
        <is>
          <t>VÄSTRA GÖTALANDS LÄN</t>
        </is>
      </c>
      <c r="E306" t="inlineStr">
        <is>
          <t>TROLLHÄTTAN</t>
        </is>
      </c>
      <c r="G306" t="n">
        <v>0.7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55033-2023</t>
        </is>
      </c>
      <c r="B307" s="1" t="n">
        <v>45237</v>
      </c>
      <c r="C307" s="1" t="n">
        <v>45837</v>
      </c>
      <c r="D307" t="inlineStr">
        <is>
          <t>VÄSTRA GÖTALANDS LÄN</t>
        </is>
      </c>
      <c r="E307" t="inlineStr">
        <is>
          <t>TROLLHÄTTAN</t>
        </is>
      </c>
      <c r="G307" t="n">
        <v>1.3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55695-2023</t>
        </is>
      </c>
      <c r="B308" s="1" t="n">
        <v>45239</v>
      </c>
      <c r="C308" s="1" t="n">
        <v>45837</v>
      </c>
      <c r="D308" t="inlineStr">
        <is>
          <t>VÄSTRA GÖTALANDS LÄN</t>
        </is>
      </c>
      <c r="E308" t="inlineStr">
        <is>
          <t>TROLLHÄTTAN</t>
        </is>
      </c>
      <c r="G308" t="n">
        <v>1.1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57363-2023</t>
        </is>
      </c>
      <c r="B309" s="1" t="n">
        <v>45245</v>
      </c>
      <c r="C309" s="1" t="n">
        <v>45837</v>
      </c>
      <c r="D309" t="inlineStr">
        <is>
          <t>VÄSTRA GÖTALANDS LÄN</t>
        </is>
      </c>
      <c r="E309" t="inlineStr">
        <is>
          <t>TROLLHÄTTAN</t>
        </is>
      </c>
      <c r="G309" t="n">
        <v>4.1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57364-2023</t>
        </is>
      </c>
      <c r="B310" s="1" t="n">
        <v>45245</v>
      </c>
      <c r="C310" s="1" t="n">
        <v>45837</v>
      </c>
      <c r="D310" t="inlineStr">
        <is>
          <t>VÄSTRA GÖTALANDS LÄN</t>
        </is>
      </c>
      <c r="E310" t="inlineStr">
        <is>
          <t>TROLLHÄTTAN</t>
        </is>
      </c>
      <c r="G310" t="n">
        <v>4.1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57362-2023</t>
        </is>
      </c>
      <c r="B311" s="1" t="n">
        <v>45245</v>
      </c>
      <c r="C311" s="1" t="n">
        <v>45837</v>
      </c>
      <c r="D311" t="inlineStr">
        <is>
          <t>VÄSTRA GÖTALANDS LÄN</t>
        </is>
      </c>
      <c r="E311" t="inlineStr">
        <is>
          <t>TROLLHÄTTAN</t>
        </is>
      </c>
      <c r="G311" t="n">
        <v>1.7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57733-2023</t>
        </is>
      </c>
      <c r="B312" s="1" t="n">
        <v>45246</v>
      </c>
      <c r="C312" s="1" t="n">
        <v>45837</v>
      </c>
      <c r="D312" t="inlineStr">
        <is>
          <t>VÄSTRA GÖTALANDS LÄN</t>
        </is>
      </c>
      <c r="E312" t="inlineStr">
        <is>
          <t>TROLLHÄTTAN</t>
        </is>
      </c>
      <c r="G312" t="n">
        <v>2.8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57832-2023</t>
        </is>
      </c>
      <c r="B313" s="1" t="n">
        <v>45247</v>
      </c>
      <c r="C313" s="1" t="n">
        <v>45837</v>
      </c>
      <c r="D313" t="inlineStr">
        <is>
          <t>VÄSTRA GÖTALANDS LÄN</t>
        </is>
      </c>
      <c r="E313" t="inlineStr">
        <is>
          <t>TROLLHÄTTAN</t>
        </is>
      </c>
      <c r="G313" t="n">
        <v>4.1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58190-2023</t>
        </is>
      </c>
      <c r="B314" s="1" t="n">
        <v>45250</v>
      </c>
      <c r="C314" s="1" t="n">
        <v>45837</v>
      </c>
      <c r="D314" t="inlineStr">
        <is>
          <t>VÄSTRA GÖTALANDS LÄN</t>
        </is>
      </c>
      <c r="E314" t="inlineStr">
        <is>
          <t>TROLLHÄTTAN</t>
        </is>
      </c>
      <c r="G314" t="n">
        <v>1.1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58188-2023</t>
        </is>
      </c>
      <c r="B315" s="1" t="n">
        <v>45250</v>
      </c>
      <c r="C315" s="1" t="n">
        <v>45837</v>
      </c>
      <c r="D315" t="inlineStr">
        <is>
          <t>VÄSTRA GÖTALANDS LÄN</t>
        </is>
      </c>
      <c r="E315" t="inlineStr">
        <is>
          <t>TROLLHÄTTAN</t>
        </is>
      </c>
      <c r="G315" t="n">
        <v>1.2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58198-2023</t>
        </is>
      </c>
      <c r="B316" s="1" t="n">
        <v>45250</v>
      </c>
      <c r="C316" s="1" t="n">
        <v>45837</v>
      </c>
      <c r="D316" t="inlineStr">
        <is>
          <t>VÄSTRA GÖTALANDS LÄN</t>
        </is>
      </c>
      <c r="E316" t="inlineStr">
        <is>
          <t>TROLLHÄTTAN</t>
        </is>
      </c>
      <c r="G316" t="n">
        <v>1.9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59625-2023</t>
        </is>
      </c>
      <c r="B317" s="1" t="n">
        <v>45254</v>
      </c>
      <c r="C317" s="1" t="n">
        <v>45837</v>
      </c>
      <c r="D317" t="inlineStr">
        <is>
          <t>VÄSTRA GÖTALANDS LÄN</t>
        </is>
      </c>
      <c r="E317" t="inlineStr">
        <is>
          <t>TROLLHÄTTAN</t>
        </is>
      </c>
      <c r="G317" t="n">
        <v>3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59634-2023</t>
        </is>
      </c>
      <c r="B318" s="1" t="n">
        <v>45254</v>
      </c>
      <c r="C318" s="1" t="n">
        <v>45837</v>
      </c>
      <c r="D318" t="inlineStr">
        <is>
          <t>VÄSTRA GÖTALANDS LÄN</t>
        </is>
      </c>
      <c r="E318" t="inlineStr">
        <is>
          <t>TROLLHÄTTAN</t>
        </is>
      </c>
      <c r="G318" t="n">
        <v>2.1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60626-2023</t>
        </is>
      </c>
      <c r="B319" s="1" t="n">
        <v>45260</v>
      </c>
      <c r="C319" s="1" t="n">
        <v>45837</v>
      </c>
      <c r="D319" t="inlineStr">
        <is>
          <t>VÄSTRA GÖTALANDS LÄN</t>
        </is>
      </c>
      <c r="E319" t="inlineStr">
        <is>
          <t>TROLLHÄTTAN</t>
        </is>
      </c>
      <c r="G319" t="n">
        <v>2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62379-2023</t>
        </is>
      </c>
      <c r="B320" s="1" t="n">
        <v>45266</v>
      </c>
      <c r="C320" s="1" t="n">
        <v>45837</v>
      </c>
      <c r="D320" t="inlineStr">
        <is>
          <t>VÄSTRA GÖTALANDS LÄN</t>
        </is>
      </c>
      <c r="E320" t="inlineStr">
        <is>
          <t>TROLLHÄTTAN</t>
        </is>
      </c>
      <c r="F320" t="inlineStr">
        <is>
          <t>Kyrkan</t>
        </is>
      </c>
      <c r="G320" t="n">
        <v>0.7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62380-2023</t>
        </is>
      </c>
      <c r="B321" s="1" t="n">
        <v>45266</v>
      </c>
      <c r="C321" s="1" t="n">
        <v>45837</v>
      </c>
      <c r="D321" t="inlineStr">
        <is>
          <t>VÄSTRA GÖTALANDS LÄN</t>
        </is>
      </c>
      <c r="E321" t="inlineStr">
        <is>
          <t>TROLLHÄTTAN</t>
        </is>
      </c>
      <c r="F321" t="inlineStr">
        <is>
          <t>Kyrkan</t>
        </is>
      </c>
      <c r="G321" t="n">
        <v>0.9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62377-2023</t>
        </is>
      </c>
      <c r="B322" s="1" t="n">
        <v>45266</v>
      </c>
      <c r="C322" s="1" t="n">
        <v>45837</v>
      </c>
      <c r="D322" t="inlineStr">
        <is>
          <t>VÄSTRA GÖTALANDS LÄN</t>
        </is>
      </c>
      <c r="E322" t="inlineStr">
        <is>
          <t>TROLLHÄTTAN</t>
        </is>
      </c>
      <c r="F322" t="inlineStr">
        <is>
          <t>Kyrkan</t>
        </is>
      </c>
      <c r="G322" t="n">
        <v>0.8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62381-2023</t>
        </is>
      </c>
      <c r="B323" s="1" t="n">
        <v>45266</v>
      </c>
      <c r="C323" s="1" t="n">
        <v>45837</v>
      </c>
      <c r="D323" t="inlineStr">
        <is>
          <t>VÄSTRA GÖTALANDS LÄN</t>
        </is>
      </c>
      <c r="E323" t="inlineStr">
        <is>
          <t>TROLLHÄTTAN</t>
        </is>
      </c>
      <c r="F323" t="inlineStr">
        <is>
          <t>Kyrkan</t>
        </is>
      </c>
      <c r="G323" t="n">
        <v>2.8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62382-2023</t>
        </is>
      </c>
      <c r="B324" s="1" t="n">
        <v>45266</v>
      </c>
      <c r="C324" s="1" t="n">
        <v>45837</v>
      </c>
      <c r="D324" t="inlineStr">
        <is>
          <t>VÄSTRA GÖTALANDS LÄN</t>
        </is>
      </c>
      <c r="E324" t="inlineStr">
        <is>
          <t>TROLLHÄTTAN</t>
        </is>
      </c>
      <c r="F324" t="inlineStr">
        <is>
          <t>Kyrkan</t>
        </is>
      </c>
      <c r="G324" t="n">
        <v>1.8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62378-2023</t>
        </is>
      </c>
      <c r="B325" s="1" t="n">
        <v>45266</v>
      </c>
      <c r="C325" s="1" t="n">
        <v>45837</v>
      </c>
      <c r="D325" t="inlineStr">
        <is>
          <t>VÄSTRA GÖTALANDS LÄN</t>
        </is>
      </c>
      <c r="E325" t="inlineStr">
        <is>
          <t>TROLLHÄTTAN</t>
        </is>
      </c>
      <c r="F325" t="inlineStr">
        <is>
          <t>Kyrkan</t>
        </is>
      </c>
      <c r="G325" t="n">
        <v>2.8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62683-2023</t>
        </is>
      </c>
      <c r="B326" s="1" t="n">
        <v>45271</v>
      </c>
      <c r="C326" s="1" t="n">
        <v>45837</v>
      </c>
      <c r="D326" t="inlineStr">
        <is>
          <t>VÄSTRA GÖTALANDS LÄN</t>
        </is>
      </c>
      <c r="E326" t="inlineStr">
        <is>
          <t>TROLLHÄTTAN</t>
        </is>
      </c>
      <c r="G326" t="n">
        <v>5.3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64669-2023</t>
        </is>
      </c>
      <c r="B327" s="1" t="n">
        <v>45281</v>
      </c>
      <c r="C327" s="1" t="n">
        <v>45837</v>
      </c>
      <c r="D327" t="inlineStr">
        <is>
          <t>VÄSTRA GÖTALANDS LÄN</t>
        </is>
      </c>
      <c r="E327" t="inlineStr">
        <is>
          <t>TROLLHÄTTAN</t>
        </is>
      </c>
      <c r="G327" t="n">
        <v>1.1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64784-2023</t>
        </is>
      </c>
      <c r="B328" s="1" t="n">
        <v>45282</v>
      </c>
      <c r="C328" s="1" t="n">
        <v>45837</v>
      </c>
      <c r="D328" t="inlineStr">
        <is>
          <t>VÄSTRA GÖTALANDS LÄN</t>
        </is>
      </c>
      <c r="E328" t="inlineStr">
        <is>
          <t>TROLLHÄTTAN</t>
        </is>
      </c>
      <c r="G328" t="n">
        <v>2.2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65116-2023</t>
        </is>
      </c>
      <c r="B329" s="1" t="n">
        <v>45287</v>
      </c>
      <c r="C329" s="1" t="n">
        <v>45837</v>
      </c>
      <c r="D329" t="inlineStr">
        <is>
          <t>VÄSTRA GÖTALANDS LÄN</t>
        </is>
      </c>
      <c r="E329" t="inlineStr">
        <is>
          <t>TROLLHÄTTAN</t>
        </is>
      </c>
      <c r="G329" t="n">
        <v>0.1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131-2024</t>
        </is>
      </c>
      <c r="B330" s="1" t="n">
        <v>45294</v>
      </c>
      <c r="C330" s="1" t="n">
        <v>45837</v>
      </c>
      <c r="D330" t="inlineStr">
        <is>
          <t>VÄSTRA GÖTALANDS LÄN</t>
        </is>
      </c>
      <c r="E330" t="inlineStr">
        <is>
          <t>TROLLHÄTTAN</t>
        </is>
      </c>
      <c r="G330" t="n">
        <v>7.5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1007-2024</t>
        </is>
      </c>
      <c r="B331" s="1" t="n">
        <v>45301</v>
      </c>
      <c r="C331" s="1" t="n">
        <v>45837</v>
      </c>
      <c r="D331" t="inlineStr">
        <is>
          <t>VÄSTRA GÖTALANDS LÄN</t>
        </is>
      </c>
      <c r="E331" t="inlineStr">
        <is>
          <t>TROLLHÄTTAN</t>
        </is>
      </c>
      <c r="G331" t="n">
        <v>3.2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1311-2024</t>
        </is>
      </c>
      <c r="B332" s="1" t="n">
        <v>45303</v>
      </c>
      <c r="C332" s="1" t="n">
        <v>45837</v>
      </c>
      <c r="D332" t="inlineStr">
        <is>
          <t>VÄSTRA GÖTALANDS LÄN</t>
        </is>
      </c>
      <c r="E332" t="inlineStr">
        <is>
          <t>TROLLHÄTTAN</t>
        </is>
      </c>
      <c r="G332" t="n">
        <v>1.1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1821-2024</t>
        </is>
      </c>
      <c r="B333" s="1" t="n">
        <v>45307</v>
      </c>
      <c r="C333" s="1" t="n">
        <v>45837</v>
      </c>
      <c r="D333" t="inlineStr">
        <is>
          <t>VÄSTRA GÖTALANDS LÄN</t>
        </is>
      </c>
      <c r="E333" t="inlineStr">
        <is>
          <t>TROLLHÄTTAN</t>
        </is>
      </c>
      <c r="G333" t="n">
        <v>5.8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2220-2024</t>
        </is>
      </c>
      <c r="B334" s="1" t="n">
        <v>45309</v>
      </c>
      <c r="C334" s="1" t="n">
        <v>45837</v>
      </c>
      <c r="D334" t="inlineStr">
        <is>
          <t>VÄSTRA GÖTALANDS LÄN</t>
        </is>
      </c>
      <c r="E334" t="inlineStr">
        <is>
          <t>TROLLHÄTTAN</t>
        </is>
      </c>
      <c r="G334" t="n">
        <v>12.7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2299-2024</t>
        </is>
      </c>
      <c r="B335" s="1" t="n">
        <v>45310</v>
      </c>
      <c r="C335" s="1" t="n">
        <v>45837</v>
      </c>
      <c r="D335" t="inlineStr">
        <is>
          <t>VÄSTRA GÖTALANDS LÄN</t>
        </is>
      </c>
      <c r="E335" t="inlineStr">
        <is>
          <t>TROLLHÄTTAN</t>
        </is>
      </c>
      <c r="F335" t="inlineStr">
        <is>
          <t>Kommuner</t>
        </is>
      </c>
      <c r="G335" t="n">
        <v>0.7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2263-2024</t>
        </is>
      </c>
      <c r="B336" s="1" t="n">
        <v>45310</v>
      </c>
      <c r="C336" s="1" t="n">
        <v>45837</v>
      </c>
      <c r="D336" t="inlineStr">
        <is>
          <t>VÄSTRA GÖTALANDS LÄN</t>
        </is>
      </c>
      <c r="E336" t="inlineStr">
        <is>
          <t>TROLLHÄTTAN</t>
        </is>
      </c>
      <c r="F336" t="inlineStr">
        <is>
          <t>Kommuner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2269-2024</t>
        </is>
      </c>
      <c r="B337" s="1" t="n">
        <v>45310</v>
      </c>
      <c r="C337" s="1" t="n">
        <v>45837</v>
      </c>
      <c r="D337" t="inlineStr">
        <is>
          <t>VÄSTRA GÖTALANDS LÄN</t>
        </is>
      </c>
      <c r="E337" t="inlineStr">
        <is>
          <t>TROLLHÄTTAN</t>
        </is>
      </c>
      <c r="F337" t="inlineStr">
        <is>
          <t>Kommuner</t>
        </is>
      </c>
      <c r="G337" t="n">
        <v>0.9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2402-2024</t>
        </is>
      </c>
      <c r="B338" s="1" t="n">
        <v>45310</v>
      </c>
      <c r="C338" s="1" t="n">
        <v>45837</v>
      </c>
      <c r="D338" t="inlineStr">
        <is>
          <t>VÄSTRA GÖTALANDS LÄN</t>
        </is>
      </c>
      <c r="E338" t="inlineStr">
        <is>
          <t>TROLLHÄTTAN</t>
        </is>
      </c>
      <c r="G338" t="n">
        <v>0.3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3222-2024</t>
        </is>
      </c>
      <c r="B339" s="1" t="n">
        <v>45316</v>
      </c>
      <c r="C339" s="1" t="n">
        <v>45837</v>
      </c>
      <c r="D339" t="inlineStr">
        <is>
          <t>VÄSTRA GÖTALANDS LÄN</t>
        </is>
      </c>
      <c r="E339" t="inlineStr">
        <is>
          <t>TROLLHÄTTAN</t>
        </is>
      </c>
      <c r="G339" t="n">
        <v>6.5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3399-2024</t>
        </is>
      </c>
      <c r="B340" s="1" t="n">
        <v>45318</v>
      </c>
      <c r="C340" s="1" t="n">
        <v>45837</v>
      </c>
      <c r="D340" t="inlineStr">
        <is>
          <t>VÄSTRA GÖTALANDS LÄN</t>
        </is>
      </c>
      <c r="E340" t="inlineStr">
        <is>
          <t>TROLLHÄTTAN</t>
        </is>
      </c>
      <c r="G340" t="n">
        <v>1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3636-2024</t>
        </is>
      </c>
      <c r="B341" s="1" t="n">
        <v>45321</v>
      </c>
      <c r="C341" s="1" t="n">
        <v>45837</v>
      </c>
      <c r="D341" t="inlineStr">
        <is>
          <t>VÄSTRA GÖTALANDS LÄN</t>
        </is>
      </c>
      <c r="E341" t="inlineStr">
        <is>
          <t>TROLLHÄTTAN</t>
        </is>
      </c>
      <c r="G341" t="n">
        <v>7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3791-2024</t>
        </is>
      </c>
      <c r="B342" s="1" t="n">
        <v>45321</v>
      </c>
      <c r="C342" s="1" t="n">
        <v>45837</v>
      </c>
      <c r="D342" t="inlineStr">
        <is>
          <t>VÄSTRA GÖTALANDS LÄN</t>
        </is>
      </c>
      <c r="E342" t="inlineStr">
        <is>
          <t>TROLLHÄTTAN</t>
        </is>
      </c>
      <c r="G342" t="n">
        <v>2.2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3795-2024</t>
        </is>
      </c>
      <c r="B343" s="1" t="n">
        <v>45321</v>
      </c>
      <c r="C343" s="1" t="n">
        <v>45837</v>
      </c>
      <c r="D343" t="inlineStr">
        <is>
          <t>VÄSTRA GÖTALANDS LÄN</t>
        </is>
      </c>
      <c r="E343" t="inlineStr">
        <is>
          <t>TROLLHÄTTAN</t>
        </is>
      </c>
      <c r="G343" t="n">
        <v>1.4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4099-2024</t>
        </is>
      </c>
      <c r="B344" s="1" t="n">
        <v>45323</v>
      </c>
      <c r="C344" s="1" t="n">
        <v>45837</v>
      </c>
      <c r="D344" t="inlineStr">
        <is>
          <t>VÄSTRA GÖTALANDS LÄN</t>
        </is>
      </c>
      <c r="E344" t="inlineStr">
        <is>
          <t>TROLLHÄTTAN</t>
        </is>
      </c>
      <c r="G344" t="n">
        <v>0.7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4632-2024</t>
        </is>
      </c>
      <c r="B345" s="1" t="n">
        <v>45328</v>
      </c>
      <c r="C345" s="1" t="n">
        <v>45837</v>
      </c>
      <c r="D345" t="inlineStr">
        <is>
          <t>VÄSTRA GÖTALANDS LÄN</t>
        </is>
      </c>
      <c r="E345" t="inlineStr">
        <is>
          <t>TROLLHÄTTAN</t>
        </is>
      </c>
      <c r="G345" t="n">
        <v>2.3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4906-2024</t>
        </is>
      </c>
      <c r="B346" s="1" t="n">
        <v>45329</v>
      </c>
      <c r="C346" s="1" t="n">
        <v>45837</v>
      </c>
      <c r="D346" t="inlineStr">
        <is>
          <t>VÄSTRA GÖTALANDS LÄN</t>
        </is>
      </c>
      <c r="E346" t="inlineStr">
        <is>
          <t>TROLLHÄTTAN</t>
        </is>
      </c>
      <c r="G346" t="n">
        <v>1.2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4971-2024</t>
        </is>
      </c>
      <c r="B347" s="1" t="n">
        <v>45329</v>
      </c>
      <c r="C347" s="1" t="n">
        <v>45837</v>
      </c>
      <c r="D347" t="inlineStr">
        <is>
          <t>VÄSTRA GÖTALANDS LÄN</t>
        </is>
      </c>
      <c r="E347" t="inlineStr">
        <is>
          <t>TROLLHÄTTAN</t>
        </is>
      </c>
      <c r="G347" t="n">
        <v>2.2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7189-2024</t>
        </is>
      </c>
      <c r="B348" s="1" t="n">
        <v>45344</v>
      </c>
      <c r="C348" s="1" t="n">
        <v>45837</v>
      </c>
      <c r="D348" t="inlineStr">
        <is>
          <t>VÄSTRA GÖTALANDS LÄN</t>
        </is>
      </c>
      <c r="E348" t="inlineStr">
        <is>
          <t>TROLLHÄTTAN</t>
        </is>
      </c>
      <c r="F348" t="inlineStr">
        <is>
          <t>Kommuner</t>
        </is>
      </c>
      <c r="G348" t="n">
        <v>3.5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7159-2024</t>
        </is>
      </c>
      <c r="B349" s="1" t="n">
        <v>45344</v>
      </c>
      <c r="C349" s="1" t="n">
        <v>45837</v>
      </c>
      <c r="D349" t="inlineStr">
        <is>
          <t>VÄSTRA GÖTALANDS LÄN</t>
        </is>
      </c>
      <c r="E349" t="inlineStr">
        <is>
          <t>TROLLHÄTTAN</t>
        </is>
      </c>
      <c r="F349" t="inlineStr">
        <is>
          <t>Kommuner</t>
        </is>
      </c>
      <c r="G349" t="n">
        <v>3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7179-2024</t>
        </is>
      </c>
      <c r="B350" s="1" t="n">
        <v>45344</v>
      </c>
      <c r="C350" s="1" t="n">
        <v>45837</v>
      </c>
      <c r="D350" t="inlineStr">
        <is>
          <t>VÄSTRA GÖTALANDS LÄN</t>
        </is>
      </c>
      <c r="E350" t="inlineStr">
        <is>
          <t>TROLLHÄTTAN</t>
        </is>
      </c>
      <c r="F350" t="inlineStr">
        <is>
          <t>Kommuner</t>
        </is>
      </c>
      <c r="G350" t="n">
        <v>1.3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7815-2024</t>
        </is>
      </c>
      <c r="B351" s="1" t="n">
        <v>45349</v>
      </c>
      <c r="C351" s="1" t="n">
        <v>45837</v>
      </c>
      <c r="D351" t="inlineStr">
        <is>
          <t>VÄSTRA GÖTALANDS LÄN</t>
        </is>
      </c>
      <c r="E351" t="inlineStr">
        <is>
          <t>TROLLHÄTTAN</t>
        </is>
      </c>
      <c r="G351" t="n">
        <v>1.1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7921-2024</t>
        </is>
      </c>
      <c r="B352" s="1" t="n">
        <v>45350</v>
      </c>
      <c r="C352" s="1" t="n">
        <v>45837</v>
      </c>
      <c r="D352" t="inlineStr">
        <is>
          <t>VÄSTRA GÖTALANDS LÄN</t>
        </is>
      </c>
      <c r="E352" t="inlineStr">
        <is>
          <t>TROLLHÄTTAN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8099-2024</t>
        </is>
      </c>
      <c r="B353" s="1" t="n">
        <v>45351</v>
      </c>
      <c r="C353" s="1" t="n">
        <v>45837</v>
      </c>
      <c r="D353" t="inlineStr">
        <is>
          <t>VÄSTRA GÖTALANDS LÄN</t>
        </is>
      </c>
      <c r="E353" t="inlineStr">
        <is>
          <t>TROLLHÄTTAN</t>
        </is>
      </c>
      <c r="G353" t="n">
        <v>1.3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8273-2024</t>
        </is>
      </c>
      <c r="B354" s="1" t="n">
        <v>45352</v>
      </c>
      <c r="C354" s="1" t="n">
        <v>45837</v>
      </c>
      <c r="D354" t="inlineStr">
        <is>
          <t>VÄSTRA GÖTALANDS LÄN</t>
        </is>
      </c>
      <c r="E354" t="inlineStr">
        <is>
          <t>TROLLHÄTTAN</t>
        </is>
      </c>
      <c r="G354" t="n">
        <v>2.5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8282-2024</t>
        </is>
      </c>
      <c r="B355" s="1" t="n">
        <v>45352</v>
      </c>
      <c r="C355" s="1" t="n">
        <v>45837</v>
      </c>
      <c r="D355" t="inlineStr">
        <is>
          <t>VÄSTRA GÖTALANDS LÄN</t>
        </is>
      </c>
      <c r="E355" t="inlineStr">
        <is>
          <t>TROLLHÄTTAN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8286-2024</t>
        </is>
      </c>
      <c r="B356" s="1" t="n">
        <v>45352</v>
      </c>
      <c r="C356" s="1" t="n">
        <v>45837</v>
      </c>
      <c r="D356" t="inlineStr">
        <is>
          <t>VÄSTRA GÖTALANDS LÄN</t>
        </is>
      </c>
      <c r="E356" t="inlineStr">
        <is>
          <t>TROLLHÄTTAN</t>
        </is>
      </c>
      <c r="G356" t="n">
        <v>2.4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8284-2024</t>
        </is>
      </c>
      <c r="B357" s="1" t="n">
        <v>45352</v>
      </c>
      <c r="C357" s="1" t="n">
        <v>45837</v>
      </c>
      <c r="D357" t="inlineStr">
        <is>
          <t>VÄSTRA GÖTALANDS LÄN</t>
        </is>
      </c>
      <c r="E357" t="inlineStr">
        <is>
          <t>TROLLHÄTTAN</t>
        </is>
      </c>
      <c r="G357" t="n">
        <v>0.9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8454-2024</t>
        </is>
      </c>
      <c r="B358" s="1" t="n">
        <v>45354</v>
      </c>
      <c r="C358" s="1" t="n">
        <v>45837</v>
      </c>
      <c r="D358" t="inlineStr">
        <is>
          <t>VÄSTRA GÖTALANDS LÄN</t>
        </is>
      </c>
      <c r="E358" t="inlineStr">
        <is>
          <t>TROLLHÄTTAN</t>
        </is>
      </c>
      <c r="G358" t="n">
        <v>1.2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8458-2024</t>
        </is>
      </c>
      <c r="B359" s="1" t="n">
        <v>45355</v>
      </c>
      <c r="C359" s="1" t="n">
        <v>45837</v>
      </c>
      <c r="D359" t="inlineStr">
        <is>
          <t>VÄSTRA GÖTALANDS LÄN</t>
        </is>
      </c>
      <c r="E359" t="inlineStr">
        <is>
          <t>TROLLHÄTTAN</t>
        </is>
      </c>
      <c r="F359" t="inlineStr">
        <is>
          <t>Kommuner</t>
        </is>
      </c>
      <c r="G359" t="n">
        <v>3.3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8610-2024</t>
        </is>
      </c>
      <c r="B360" s="1" t="n">
        <v>45355</v>
      </c>
      <c r="C360" s="1" t="n">
        <v>45837</v>
      </c>
      <c r="D360" t="inlineStr">
        <is>
          <t>VÄSTRA GÖTALANDS LÄN</t>
        </is>
      </c>
      <c r="E360" t="inlineStr">
        <is>
          <t>TROLLHÄTTAN</t>
        </is>
      </c>
      <c r="G360" t="n">
        <v>2.1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8527-2024</t>
        </is>
      </c>
      <c r="B361" s="1" t="n">
        <v>45355</v>
      </c>
      <c r="C361" s="1" t="n">
        <v>45837</v>
      </c>
      <c r="D361" t="inlineStr">
        <is>
          <t>VÄSTRA GÖTALANDS LÄN</t>
        </is>
      </c>
      <c r="E361" t="inlineStr">
        <is>
          <t>TROLLHÄTTAN</t>
        </is>
      </c>
      <c r="G361" t="n">
        <v>2.5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9073-2024</t>
        </is>
      </c>
      <c r="B362" s="1" t="n">
        <v>45357</v>
      </c>
      <c r="C362" s="1" t="n">
        <v>45837</v>
      </c>
      <c r="D362" t="inlineStr">
        <is>
          <t>VÄSTRA GÖTALANDS LÄN</t>
        </is>
      </c>
      <c r="E362" t="inlineStr">
        <is>
          <t>TROLLHÄTTAN</t>
        </is>
      </c>
      <c r="G362" t="n">
        <v>2.2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9125-2024</t>
        </is>
      </c>
      <c r="B363" s="1" t="n">
        <v>45358</v>
      </c>
      <c r="C363" s="1" t="n">
        <v>45837</v>
      </c>
      <c r="D363" t="inlineStr">
        <is>
          <t>VÄSTRA GÖTALANDS LÄN</t>
        </is>
      </c>
      <c r="E363" t="inlineStr">
        <is>
          <t>TROLLHÄTTAN</t>
        </is>
      </c>
      <c r="G363" t="n">
        <v>3.5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9126-2024</t>
        </is>
      </c>
      <c r="B364" s="1" t="n">
        <v>45358</v>
      </c>
      <c r="C364" s="1" t="n">
        <v>45837</v>
      </c>
      <c r="D364" t="inlineStr">
        <is>
          <t>VÄSTRA GÖTALANDS LÄN</t>
        </is>
      </c>
      <c r="E364" t="inlineStr">
        <is>
          <t>TROLLHÄTTAN</t>
        </is>
      </c>
      <c r="G364" t="n">
        <v>0.9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9954-2024</t>
        </is>
      </c>
      <c r="B365" s="1" t="n">
        <v>45363</v>
      </c>
      <c r="C365" s="1" t="n">
        <v>45837</v>
      </c>
      <c r="D365" t="inlineStr">
        <is>
          <t>VÄSTRA GÖTALANDS LÄN</t>
        </is>
      </c>
      <c r="E365" t="inlineStr">
        <is>
          <t>TROLLHÄTTAN</t>
        </is>
      </c>
      <c r="G365" t="n">
        <v>2.7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9952-2024</t>
        </is>
      </c>
      <c r="B366" s="1" t="n">
        <v>45363</v>
      </c>
      <c r="C366" s="1" t="n">
        <v>45837</v>
      </c>
      <c r="D366" t="inlineStr">
        <is>
          <t>VÄSTRA GÖTALANDS LÄN</t>
        </is>
      </c>
      <c r="E366" t="inlineStr">
        <is>
          <t>TROLLHÄTTAN</t>
        </is>
      </c>
      <c r="G366" t="n">
        <v>1.3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10767-2024</t>
        </is>
      </c>
      <c r="B367" s="1" t="n">
        <v>45369</v>
      </c>
      <c r="C367" s="1" t="n">
        <v>45837</v>
      </c>
      <c r="D367" t="inlineStr">
        <is>
          <t>VÄSTRA GÖTALANDS LÄN</t>
        </is>
      </c>
      <c r="E367" t="inlineStr">
        <is>
          <t>TROLLHÄTTAN</t>
        </is>
      </c>
      <c r="G367" t="n">
        <v>1.5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10768-2024</t>
        </is>
      </c>
      <c r="B368" s="1" t="n">
        <v>45369</v>
      </c>
      <c r="C368" s="1" t="n">
        <v>45837</v>
      </c>
      <c r="D368" t="inlineStr">
        <is>
          <t>VÄSTRA GÖTALANDS LÄN</t>
        </is>
      </c>
      <c r="E368" t="inlineStr">
        <is>
          <t>TROLLHÄTTAN</t>
        </is>
      </c>
      <c r="G368" t="n">
        <v>2.7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 ht="15" customHeight="1">
      <c r="A369" t="inlineStr">
        <is>
          <t>A 10777-2024</t>
        </is>
      </c>
      <c r="B369" s="1" t="n">
        <v>45369</v>
      </c>
      <c r="C369" s="1" t="n">
        <v>45837</v>
      </c>
      <c r="D369" t="inlineStr">
        <is>
          <t>VÄSTRA GÖTALANDS LÄN</t>
        </is>
      </c>
      <c r="E369" t="inlineStr">
        <is>
          <t>TROLLHÄTTAN</t>
        </is>
      </c>
      <c r="G369" t="n">
        <v>0.9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  <row r="370" ht="15" customHeight="1">
      <c r="A370" t="inlineStr">
        <is>
          <t>A 10898-2024</t>
        </is>
      </c>
      <c r="B370" s="1" t="n">
        <v>45370</v>
      </c>
      <c r="C370" s="1" t="n">
        <v>45837</v>
      </c>
      <c r="D370" t="inlineStr">
        <is>
          <t>VÄSTRA GÖTALANDS LÄN</t>
        </is>
      </c>
      <c r="E370" t="inlineStr">
        <is>
          <t>TROLLHÄTTAN</t>
        </is>
      </c>
      <c r="G370" t="n">
        <v>3</v>
      </c>
      <c r="H370" t="n">
        <v>0</v>
      </c>
      <c r="I370" t="n">
        <v>0</v>
      </c>
      <c r="J370" t="n">
        <v>0</v>
      </c>
      <c r="K370" t="n">
        <v>0</v>
      </c>
      <c r="L370" t="n">
        <v>0</v>
      </c>
      <c r="M370" t="n">
        <v>0</v>
      </c>
      <c r="N370" t="n">
        <v>0</v>
      </c>
      <c r="O370" t="n">
        <v>0</v>
      </c>
      <c r="P370" t="n">
        <v>0</v>
      </c>
      <c r="Q370" t="n">
        <v>0</v>
      </c>
      <c r="R370" s="2" t="inlineStr"/>
    </row>
    <row r="371" ht="15" customHeight="1">
      <c r="A371" t="inlineStr">
        <is>
          <t>A 11123-2024</t>
        </is>
      </c>
      <c r="B371" s="1" t="n">
        <v>45371</v>
      </c>
      <c r="C371" s="1" t="n">
        <v>45837</v>
      </c>
      <c r="D371" t="inlineStr">
        <is>
          <t>VÄSTRA GÖTALANDS LÄN</t>
        </is>
      </c>
      <c r="E371" t="inlineStr">
        <is>
          <t>TROLLHÄTTAN</t>
        </is>
      </c>
      <c r="G371" t="n">
        <v>8.199999999999999</v>
      </c>
      <c r="H371" t="n">
        <v>0</v>
      </c>
      <c r="I371" t="n">
        <v>0</v>
      </c>
      <c r="J371" t="n">
        <v>0</v>
      </c>
      <c r="K371" t="n">
        <v>0</v>
      </c>
      <c r="L371" t="n">
        <v>0</v>
      </c>
      <c r="M371" t="n">
        <v>0</v>
      </c>
      <c r="N371" t="n">
        <v>0</v>
      </c>
      <c r="O371" t="n">
        <v>0</v>
      </c>
      <c r="P371" t="n">
        <v>0</v>
      </c>
      <c r="Q371" t="n">
        <v>0</v>
      </c>
      <c r="R371" s="2" t="inlineStr"/>
    </row>
    <row r="372" ht="15" customHeight="1">
      <c r="A372" t="inlineStr">
        <is>
          <t>A 11112-2024</t>
        </is>
      </c>
      <c r="B372" s="1" t="n">
        <v>45371</v>
      </c>
      <c r="C372" s="1" t="n">
        <v>45837</v>
      </c>
      <c r="D372" t="inlineStr">
        <is>
          <t>VÄSTRA GÖTALANDS LÄN</t>
        </is>
      </c>
      <c r="E372" t="inlineStr">
        <is>
          <t>TROLLHÄTTAN</t>
        </is>
      </c>
      <c r="G372" t="n">
        <v>2.9</v>
      </c>
      <c r="H372" t="n">
        <v>0</v>
      </c>
      <c r="I372" t="n">
        <v>0</v>
      </c>
      <c r="J372" t="n">
        <v>0</v>
      </c>
      <c r="K372" t="n">
        <v>0</v>
      </c>
      <c r="L372" t="n">
        <v>0</v>
      </c>
      <c r="M372" t="n">
        <v>0</v>
      </c>
      <c r="N372" t="n">
        <v>0</v>
      </c>
      <c r="O372" t="n">
        <v>0</v>
      </c>
      <c r="P372" t="n">
        <v>0</v>
      </c>
      <c r="Q372" t="n">
        <v>0</v>
      </c>
      <c r="R372" s="2" t="inlineStr"/>
    </row>
    <row r="373" ht="15" customHeight="1">
      <c r="A373" t="inlineStr">
        <is>
          <t>A 11395-2024</t>
        </is>
      </c>
      <c r="B373" s="1" t="n">
        <v>45372</v>
      </c>
      <c r="C373" s="1" t="n">
        <v>45837</v>
      </c>
      <c r="D373" t="inlineStr">
        <is>
          <t>VÄSTRA GÖTALANDS LÄN</t>
        </is>
      </c>
      <c r="E373" t="inlineStr">
        <is>
          <t>TROLLHÄTTAN</t>
        </is>
      </c>
      <c r="G373" t="n">
        <v>1.6</v>
      </c>
      <c r="H373" t="n">
        <v>0</v>
      </c>
      <c r="I373" t="n">
        <v>0</v>
      </c>
      <c r="J373" t="n">
        <v>0</v>
      </c>
      <c r="K373" t="n">
        <v>0</v>
      </c>
      <c r="L373" t="n">
        <v>0</v>
      </c>
      <c r="M373" t="n">
        <v>0</v>
      </c>
      <c r="N373" t="n">
        <v>0</v>
      </c>
      <c r="O373" t="n">
        <v>0</v>
      </c>
      <c r="P373" t="n">
        <v>0</v>
      </c>
      <c r="Q373" t="n">
        <v>0</v>
      </c>
      <c r="R373" s="2" t="inlineStr"/>
    </row>
    <row r="374" ht="15" customHeight="1">
      <c r="A374" t="inlineStr">
        <is>
          <t>A 11460-2024</t>
        </is>
      </c>
      <c r="B374" s="1" t="n">
        <v>45372</v>
      </c>
      <c r="C374" s="1" t="n">
        <v>45837</v>
      </c>
      <c r="D374" t="inlineStr">
        <is>
          <t>VÄSTRA GÖTALANDS LÄN</t>
        </is>
      </c>
      <c r="E374" t="inlineStr">
        <is>
          <t>TROLLHÄTTAN</t>
        </is>
      </c>
      <c r="G374" t="n">
        <v>5.3</v>
      </c>
      <c r="H374" t="n">
        <v>0</v>
      </c>
      <c r="I374" t="n">
        <v>0</v>
      </c>
      <c r="J374" t="n">
        <v>0</v>
      </c>
      <c r="K374" t="n">
        <v>0</v>
      </c>
      <c r="L374" t="n">
        <v>0</v>
      </c>
      <c r="M374" t="n">
        <v>0</v>
      </c>
      <c r="N374" t="n">
        <v>0</v>
      </c>
      <c r="O374" t="n">
        <v>0</v>
      </c>
      <c r="P374" t="n">
        <v>0</v>
      </c>
      <c r="Q374" t="n">
        <v>0</v>
      </c>
      <c r="R374" s="2" t="inlineStr"/>
    </row>
    <row r="375" ht="15" customHeight="1">
      <c r="A375" t="inlineStr">
        <is>
          <t>A 12266-2024</t>
        </is>
      </c>
      <c r="B375" s="1" t="n">
        <v>45378</v>
      </c>
      <c r="C375" s="1" t="n">
        <v>45837</v>
      </c>
      <c r="D375" t="inlineStr">
        <is>
          <t>VÄSTRA GÖTALANDS LÄN</t>
        </is>
      </c>
      <c r="E375" t="inlineStr">
        <is>
          <t>TROLLHÄTTAN</t>
        </is>
      </c>
      <c r="G375" t="n">
        <v>0.5</v>
      </c>
      <c r="H375" t="n">
        <v>0</v>
      </c>
      <c r="I375" t="n">
        <v>0</v>
      </c>
      <c r="J375" t="n">
        <v>0</v>
      </c>
      <c r="K375" t="n">
        <v>0</v>
      </c>
      <c r="L375" t="n">
        <v>0</v>
      </c>
      <c r="M375" t="n">
        <v>0</v>
      </c>
      <c r="N375" t="n">
        <v>0</v>
      </c>
      <c r="O375" t="n">
        <v>0</v>
      </c>
      <c r="P375" t="n">
        <v>0</v>
      </c>
      <c r="Q375" t="n">
        <v>0</v>
      </c>
      <c r="R375" s="2" t="inlineStr"/>
    </row>
    <row r="376" ht="15" customHeight="1">
      <c r="A376" t="inlineStr">
        <is>
          <t>A 12329-2024</t>
        </is>
      </c>
      <c r="B376" s="1" t="n">
        <v>45378</v>
      </c>
      <c r="C376" s="1" t="n">
        <v>45837</v>
      </c>
      <c r="D376" t="inlineStr">
        <is>
          <t>VÄSTRA GÖTALANDS LÄN</t>
        </is>
      </c>
      <c r="E376" t="inlineStr">
        <is>
          <t>TROLLHÄTTAN</t>
        </is>
      </c>
      <c r="G376" t="n">
        <v>0.8</v>
      </c>
      <c r="H376" t="n">
        <v>0</v>
      </c>
      <c r="I376" t="n">
        <v>0</v>
      </c>
      <c r="J376" t="n">
        <v>0</v>
      </c>
      <c r="K376" t="n">
        <v>0</v>
      </c>
      <c r="L376" t="n">
        <v>0</v>
      </c>
      <c r="M376" t="n">
        <v>0</v>
      </c>
      <c r="N376" t="n">
        <v>0</v>
      </c>
      <c r="O376" t="n">
        <v>0</v>
      </c>
      <c r="P376" t="n">
        <v>0</v>
      </c>
      <c r="Q376" t="n">
        <v>0</v>
      </c>
      <c r="R376" s="2" t="inlineStr"/>
    </row>
    <row r="377" ht="15" customHeight="1">
      <c r="A377" t="inlineStr">
        <is>
          <t>A 12264-2024</t>
        </is>
      </c>
      <c r="B377" s="1" t="n">
        <v>45378</v>
      </c>
      <c r="C377" s="1" t="n">
        <v>45837</v>
      </c>
      <c r="D377" t="inlineStr">
        <is>
          <t>VÄSTRA GÖTALANDS LÄN</t>
        </is>
      </c>
      <c r="E377" t="inlineStr">
        <is>
          <t>TROLLHÄTTAN</t>
        </is>
      </c>
      <c r="G377" t="n">
        <v>1.5</v>
      </c>
      <c r="H377" t="n">
        <v>0</v>
      </c>
      <c r="I377" t="n">
        <v>0</v>
      </c>
      <c r="J377" t="n">
        <v>0</v>
      </c>
      <c r="K377" t="n">
        <v>0</v>
      </c>
      <c r="L377" t="n">
        <v>0</v>
      </c>
      <c r="M377" t="n">
        <v>0</v>
      </c>
      <c r="N377" t="n">
        <v>0</v>
      </c>
      <c r="O377" t="n">
        <v>0</v>
      </c>
      <c r="P377" t="n">
        <v>0</v>
      </c>
      <c r="Q377" t="n">
        <v>0</v>
      </c>
      <c r="R377" s="2" t="inlineStr"/>
    </row>
    <row r="378" ht="15" customHeight="1">
      <c r="A378" t="inlineStr">
        <is>
          <t>A 12316-2024</t>
        </is>
      </c>
      <c r="B378" s="1" t="n">
        <v>45378</v>
      </c>
      <c r="C378" s="1" t="n">
        <v>45837</v>
      </c>
      <c r="D378" t="inlineStr">
        <is>
          <t>VÄSTRA GÖTALANDS LÄN</t>
        </is>
      </c>
      <c r="E378" t="inlineStr">
        <is>
          <t>TROLLHÄTTAN</t>
        </is>
      </c>
      <c r="G378" t="n">
        <v>1</v>
      </c>
      <c r="H378" t="n">
        <v>0</v>
      </c>
      <c r="I378" t="n">
        <v>0</v>
      </c>
      <c r="J378" t="n">
        <v>0</v>
      </c>
      <c r="K378" t="n">
        <v>0</v>
      </c>
      <c r="L378" t="n">
        <v>0</v>
      </c>
      <c r="M378" t="n">
        <v>0</v>
      </c>
      <c r="N378" t="n">
        <v>0</v>
      </c>
      <c r="O378" t="n">
        <v>0</v>
      </c>
      <c r="P378" t="n">
        <v>0</v>
      </c>
      <c r="Q378" t="n">
        <v>0</v>
      </c>
      <c r="R378" s="2" t="inlineStr"/>
    </row>
    <row r="379" ht="15" customHeight="1">
      <c r="A379" t="inlineStr">
        <is>
          <t>A 12331-2024</t>
        </is>
      </c>
      <c r="B379" s="1" t="n">
        <v>45378</v>
      </c>
      <c r="C379" s="1" t="n">
        <v>45837</v>
      </c>
      <c r="D379" t="inlineStr">
        <is>
          <t>VÄSTRA GÖTALANDS LÄN</t>
        </is>
      </c>
      <c r="E379" t="inlineStr">
        <is>
          <t>TROLLHÄTTAN</t>
        </is>
      </c>
      <c r="G379" t="n">
        <v>1.6</v>
      </c>
      <c r="H379" t="n">
        <v>0</v>
      </c>
      <c r="I379" t="n">
        <v>0</v>
      </c>
      <c r="J379" t="n">
        <v>0</v>
      </c>
      <c r="K379" t="n">
        <v>0</v>
      </c>
      <c r="L379" t="n">
        <v>0</v>
      </c>
      <c r="M379" t="n">
        <v>0</v>
      </c>
      <c r="N379" t="n">
        <v>0</v>
      </c>
      <c r="O379" t="n">
        <v>0</v>
      </c>
      <c r="P379" t="n">
        <v>0</v>
      </c>
      <c r="Q379" t="n">
        <v>0</v>
      </c>
      <c r="R379" s="2" t="inlineStr"/>
    </row>
    <row r="380" ht="15" customHeight="1">
      <c r="A380" t="inlineStr">
        <is>
          <t>A 12797-2024</t>
        </is>
      </c>
      <c r="B380" s="1" t="n">
        <v>45384</v>
      </c>
      <c r="C380" s="1" t="n">
        <v>45837</v>
      </c>
      <c r="D380" t="inlineStr">
        <is>
          <t>VÄSTRA GÖTALANDS LÄN</t>
        </is>
      </c>
      <c r="E380" t="inlineStr">
        <is>
          <t>TROLLHÄTTAN</t>
        </is>
      </c>
      <c r="G380" t="n">
        <v>1.3</v>
      </c>
      <c r="H380" t="n">
        <v>0</v>
      </c>
      <c r="I380" t="n">
        <v>0</v>
      </c>
      <c r="J380" t="n">
        <v>0</v>
      </c>
      <c r="K380" t="n">
        <v>0</v>
      </c>
      <c r="L380" t="n">
        <v>0</v>
      </c>
      <c r="M380" t="n">
        <v>0</v>
      </c>
      <c r="N380" t="n">
        <v>0</v>
      </c>
      <c r="O380" t="n">
        <v>0</v>
      </c>
      <c r="P380" t="n">
        <v>0</v>
      </c>
      <c r="Q380" t="n">
        <v>0</v>
      </c>
      <c r="R380" s="2" t="inlineStr"/>
    </row>
    <row r="381" ht="15" customHeight="1">
      <c r="A381" t="inlineStr">
        <is>
          <t>A 13014-2024</t>
        </is>
      </c>
      <c r="B381" s="1" t="n">
        <v>45385</v>
      </c>
      <c r="C381" s="1" t="n">
        <v>45837</v>
      </c>
      <c r="D381" t="inlineStr">
        <is>
          <t>VÄSTRA GÖTALANDS LÄN</t>
        </is>
      </c>
      <c r="E381" t="inlineStr">
        <is>
          <t>TROLLHÄTTAN</t>
        </is>
      </c>
      <c r="G381" t="n">
        <v>1</v>
      </c>
      <c r="H381" t="n">
        <v>0</v>
      </c>
      <c r="I381" t="n">
        <v>0</v>
      </c>
      <c r="J381" t="n">
        <v>0</v>
      </c>
      <c r="K381" t="n">
        <v>0</v>
      </c>
      <c r="L381" t="n">
        <v>0</v>
      </c>
      <c r="M381" t="n">
        <v>0</v>
      </c>
      <c r="N381" t="n">
        <v>0</v>
      </c>
      <c r="O381" t="n">
        <v>0</v>
      </c>
      <c r="P381" t="n">
        <v>0</v>
      </c>
      <c r="Q381" t="n">
        <v>0</v>
      </c>
      <c r="R381" s="2" t="inlineStr"/>
    </row>
    <row r="382" ht="15" customHeight="1">
      <c r="A382" t="inlineStr">
        <is>
          <t>A 12967-2024</t>
        </is>
      </c>
      <c r="B382" s="1" t="n">
        <v>45385</v>
      </c>
      <c r="C382" s="1" t="n">
        <v>45837</v>
      </c>
      <c r="D382" t="inlineStr">
        <is>
          <t>VÄSTRA GÖTALANDS LÄN</t>
        </is>
      </c>
      <c r="E382" t="inlineStr">
        <is>
          <t>TROLLHÄTTAN</t>
        </is>
      </c>
      <c r="G382" t="n">
        <v>1.2</v>
      </c>
      <c r="H382" t="n">
        <v>0</v>
      </c>
      <c r="I382" t="n">
        <v>0</v>
      </c>
      <c r="J382" t="n">
        <v>0</v>
      </c>
      <c r="K382" t="n">
        <v>0</v>
      </c>
      <c r="L382" t="n">
        <v>0</v>
      </c>
      <c r="M382" t="n">
        <v>0</v>
      </c>
      <c r="N382" t="n">
        <v>0</v>
      </c>
      <c r="O382" t="n">
        <v>0</v>
      </c>
      <c r="P382" t="n">
        <v>0</v>
      </c>
      <c r="Q382" t="n">
        <v>0</v>
      </c>
      <c r="R382" s="2" t="inlineStr"/>
    </row>
    <row r="383" ht="15" customHeight="1">
      <c r="A383" t="inlineStr">
        <is>
          <t>A 13017-2024</t>
        </is>
      </c>
      <c r="B383" s="1" t="n">
        <v>45385</v>
      </c>
      <c r="C383" s="1" t="n">
        <v>45837</v>
      </c>
      <c r="D383" t="inlineStr">
        <is>
          <t>VÄSTRA GÖTALANDS LÄN</t>
        </is>
      </c>
      <c r="E383" t="inlineStr">
        <is>
          <t>TROLLHÄTTAN</t>
        </is>
      </c>
      <c r="G383" t="n">
        <v>1.2</v>
      </c>
      <c r="H383" t="n">
        <v>0</v>
      </c>
      <c r="I383" t="n">
        <v>0</v>
      </c>
      <c r="J383" t="n">
        <v>0</v>
      </c>
      <c r="K383" t="n">
        <v>0</v>
      </c>
      <c r="L383" t="n">
        <v>0</v>
      </c>
      <c r="M383" t="n">
        <v>0</v>
      </c>
      <c r="N383" t="n">
        <v>0</v>
      </c>
      <c r="O383" t="n">
        <v>0</v>
      </c>
      <c r="P383" t="n">
        <v>0</v>
      </c>
      <c r="Q383" t="n">
        <v>0</v>
      </c>
      <c r="R383" s="2" t="inlineStr"/>
    </row>
    <row r="384" ht="15" customHeight="1">
      <c r="A384" t="inlineStr">
        <is>
          <t>A 13131-2024</t>
        </is>
      </c>
      <c r="B384" s="1" t="n">
        <v>45386</v>
      </c>
      <c r="C384" s="1" t="n">
        <v>45837</v>
      </c>
      <c r="D384" t="inlineStr">
        <is>
          <t>VÄSTRA GÖTALANDS LÄN</t>
        </is>
      </c>
      <c r="E384" t="inlineStr">
        <is>
          <t>TROLLHÄTTAN</t>
        </is>
      </c>
      <c r="F384" t="inlineStr">
        <is>
          <t>Kommuner</t>
        </is>
      </c>
      <c r="G384" t="n">
        <v>5.9</v>
      </c>
      <c r="H384" t="n">
        <v>0</v>
      </c>
      <c r="I384" t="n">
        <v>0</v>
      </c>
      <c r="J384" t="n">
        <v>0</v>
      </c>
      <c r="K384" t="n">
        <v>0</v>
      </c>
      <c r="L384" t="n">
        <v>0</v>
      </c>
      <c r="M384" t="n">
        <v>0</v>
      </c>
      <c r="N384" t="n">
        <v>0</v>
      </c>
      <c r="O384" t="n">
        <v>0</v>
      </c>
      <c r="P384" t="n">
        <v>0</v>
      </c>
      <c r="Q384" t="n">
        <v>0</v>
      </c>
      <c r="R384" s="2" t="inlineStr"/>
    </row>
    <row r="385" ht="15" customHeight="1">
      <c r="A385" t="inlineStr">
        <is>
          <t>A 13130-2024</t>
        </is>
      </c>
      <c r="B385" s="1" t="n">
        <v>45386</v>
      </c>
      <c r="C385" s="1" t="n">
        <v>45837</v>
      </c>
      <c r="D385" t="inlineStr">
        <is>
          <t>VÄSTRA GÖTALANDS LÄN</t>
        </is>
      </c>
      <c r="E385" t="inlineStr">
        <is>
          <t>TROLLHÄTTAN</t>
        </is>
      </c>
      <c r="F385" t="inlineStr">
        <is>
          <t>Kommuner</t>
        </is>
      </c>
      <c r="G385" t="n">
        <v>1.5</v>
      </c>
      <c r="H385" t="n">
        <v>0</v>
      </c>
      <c r="I385" t="n">
        <v>0</v>
      </c>
      <c r="J385" t="n">
        <v>0</v>
      </c>
      <c r="K385" t="n">
        <v>0</v>
      </c>
      <c r="L385" t="n">
        <v>0</v>
      </c>
      <c r="M385" t="n">
        <v>0</v>
      </c>
      <c r="N385" t="n">
        <v>0</v>
      </c>
      <c r="O385" t="n">
        <v>0</v>
      </c>
      <c r="P385" t="n">
        <v>0</v>
      </c>
      <c r="Q385" t="n">
        <v>0</v>
      </c>
      <c r="R385" s="2" t="inlineStr"/>
    </row>
    <row r="386" ht="15" customHeight="1">
      <c r="A386" t="inlineStr">
        <is>
          <t>A 13399-2024</t>
        </is>
      </c>
      <c r="B386" s="1" t="n">
        <v>45387</v>
      </c>
      <c r="C386" s="1" t="n">
        <v>45837</v>
      </c>
      <c r="D386" t="inlineStr">
        <is>
          <t>VÄSTRA GÖTALANDS LÄN</t>
        </is>
      </c>
      <c r="E386" t="inlineStr">
        <is>
          <t>TROLLHÄTTAN</t>
        </is>
      </c>
      <c r="G386" t="n">
        <v>4.9</v>
      </c>
      <c r="H386" t="n">
        <v>0</v>
      </c>
      <c r="I386" t="n">
        <v>0</v>
      </c>
      <c r="J386" t="n">
        <v>0</v>
      </c>
      <c r="K386" t="n">
        <v>0</v>
      </c>
      <c r="L386" t="n">
        <v>0</v>
      </c>
      <c r="M386" t="n">
        <v>0</v>
      </c>
      <c r="N386" t="n">
        <v>0</v>
      </c>
      <c r="O386" t="n">
        <v>0</v>
      </c>
      <c r="P386" t="n">
        <v>0</v>
      </c>
      <c r="Q386" t="n">
        <v>0</v>
      </c>
      <c r="R386" s="2" t="inlineStr"/>
    </row>
    <row r="387" ht="15" customHeight="1">
      <c r="A387" t="inlineStr">
        <is>
          <t>A 14481-2024</t>
        </is>
      </c>
      <c r="B387" s="1" t="n">
        <v>45394</v>
      </c>
      <c r="C387" s="1" t="n">
        <v>45837</v>
      </c>
      <c r="D387" t="inlineStr">
        <is>
          <t>VÄSTRA GÖTALANDS LÄN</t>
        </is>
      </c>
      <c r="E387" t="inlineStr">
        <is>
          <t>TROLLHÄTTAN</t>
        </is>
      </c>
      <c r="G387" t="n">
        <v>4.7</v>
      </c>
      <c r="H387" t="n">
        <v>0</v>
      </c>
      <c r="I387" t="n">
        <v>0</v>
      </c>
      <c r="J387" t="n">
        <v>0</v>
      </c>
      <c r="K387" t="n">
        <v>0</v>
      </c>
      <c r="L387" t="n">
        <v>0</v>
      </c>
      <c r="M387" t="n">
        <v>0</v>
      </c>
      <c r="N387" t="n">
        <v>0</v>
      </c>
      <c r="O387" t="n">
        <v>0</v>
      </c>
      <c r="P387" t="n">
        <v>0</v>
      </c>
      <c r="Q387" t="n">
        <v>0</v>
      </c>
      <c r="R387" s="2" t="inlineStr"/>
    </row>
    <row r="388" ht="15" customHeight="1">
      <c r="A388" t="inlineStr">
        <is>
          <t>A 15514-2024</t>
        </is>
      </c>
      <c r="B388" s="1" t="n">
        <v>45401</v>
      </c>
      <c r="C388" s="1" t="n">
        <v>45837</v>
      </c>
      <c r="D388" t="inlineStr">
        <is>
          <t>VÄSTRA GÖTALANDS LÄN</t>
        </is>
      </c>
      <c r="E388" t="inlineStr">
        <is>
          <t>TROLLHÄTTAN</t>
        </is>
      </c>
      <c r="G388" t="n">
        <v>2.5</v>
      </c>
      <c r="H388" t="n">
        <v>0</v>
      </c>
      <c r="I388" t="n">
        <v>0</v>
      </c>
      <c r="J388" t="n">
        <v>0</v>
      </c>
      <c r="K388" t="n">
        <v>0</v>
      </c>
      <c r="L388" t="n">
        <v>0</v>
      </c>
      <c r="M388" t="n">
        <v>0</v>
      </c>
      <c r="N388" t="n">
        <v>0</v>
      </c>
      <c r="O388" t="n">
        <v>0</v>
      </c>
      <c r="P388" t="n">
        <v>0</v>
      </c>
      <c r="Q388" t="n">
        <v>0</v>
      </c>
      <c r="R388" s="2" t="inlineStr"/>
    </row>
    <row r="389" ht="15" customHeight="1">
      <c r="A389" t="inlineStr">
        <is>
          <t>A 15645-2024</t>
        </is>
      </c>
      <c r="B389" s="1" t="n">
        <v>45404</v>
      </c>
      <c r="C389" s="1" t="n">
        <v>45837</v>
      </c>
      <c r="D389" t="inlineStr">
        <is>
          <t>VÄSTRA GÖTALANDS LÄN</t>
        </is>
      </c>
      <c r="E389" t="inlineStr">
        <is>
          <t>TROLLHÄTTAN</t>
        </is>
      </c>
      <c r="G389" t="n">
        <v>2.2</v>
      </c>
      <c r="H389" t="n">
        <v>0</v>
      </c>
      <c r="I389" t="n">
        <v>0</v>
      </c>
      <c r="J389" t="n">
        <v>0</v>
      </c>
      <c r="K389" t="n">
        <v>0</v>
      </c>
      <c r="L389" t="n">
        <v>0</v>
      </c>
      <c r="M389" t="n">
        <v>0</v>
      </c>
      <c r="N389" t="n">
        <v>0</v>
      </c>
      <c r="O389" t="n">
        <v>0</v>
      </c>
      <c r="P389" t="n">
        <v>0</v>
      </c>
      <c r="Q389" t="n">
        <v>0</v>
      </c>
      <c r="R389" s="2" t="inlineStr"/>
    </row>
    <row r="390" ht="15" customHeight="1">
      <c r="A390" t="inlineStr">
        <is>
          <t>A 15873-2024</t>
        </is>
      </c>
      <c r="B390" s="1" t="n">
        <v>45405</v>
      </c>
      <c r="C390" s="1" t="n">
        <v>45837</v>
      </c>
      <c r="D390" t="inlineStr">
        <is>
          <t>VÄSTRA GÖTALANDS LÄN</t>
        </is>
      </c>
      <c r="E390" t="inlineStr">
        <is>
          <t>TROLLHÄTTAN</t>
        </is>
      </c>
      <c r="G390" t="n">
        <v>0.7</v>
      </c>
      <c r="H390" t="n">
        <v>0</v>
      </c>
      <c r="I390" t="n">
        <v>0</v>
      </c>
      <c r="J390" t="n">
        <v>0</v>
      </c>
      <c r="K390" t="n">
        <v>0</v>
      </c>
      <c r="L390" t="n">
        <v>0</v>
      </c>
      <c r="M390" t="n">
        <v>0</v>
      </c>
      <c r="N390" t="n">
        <v>0</v>
      </c>
      <c r="O390" t="n">
        <v>0</v>
      </c>
      <c r="P390" t="n">
        <v>0</v>
      </c>
      <c r="Q390" t="n">
        <v>0</v>
      </c>
      <c r="R390" s="2" t="inlineStr"/>
    </row>
    <row r="391" ht="15" customHeight="1">
      <c r="A391" t="inlineStr">
        <is>
          <t>A 16154-2024</t>
        </is>
      </c>
      <c r="B391" s="1" t="n">
        <v>45406</v>
      </c>
      <c r="C391" s="1" t="n">
        <v>45837</v>
      </c>
      <c r="D391" t="inlineStr">
        <is>
          <t>VÄSTRA GÖTALANDS LÄN</t>
        </is>
      </c>
      <c r="E391" t="inlineStr">
        <is>
          <t>TROLLHÄTTAN</t>
        </is>
      </c>
      <c r="G391" t="n">
        <v>0.8</v>
      </c>
      <c r="H391" t="n">
        <v>0</v>
      </c>
      <c r="I391" t="n">
        <v>0</v>
      </c>
      <c r="J391" t="n">
        <v>0</v>
      </c>
      <c r="K391" t="n">
        <v>0</v>
      </c>
      <c r="L391" t="n">
        <v>0</v>
      </c>
      <c r="M391" t="n">
        <v>0</v>
      </c>
      <c r="N391" t="n">
        <v>0</v>
      </c>
      <c r="O391" t="n">
        <v>0</v>
      </c>
      <c r="P391" t="n">
        <v>0</v>
      </c>
      <c r="Q391" t="n">
        <v>0</v>
      </c>
      <c r="R391" s="2" t="inlineStr"/>
    </row>
    <row r="392" ht="15" customHeight="1">
      <c r="A392" t="inlineStr">
        <is>
          <t>A 16174-2024</t>
        </is>
      </c>
      <c r="B392" s="1" t="n">
        <v>45406</v>
      </c>
      <c r="C392" s="1" t="n">
        <v>45837</v>
      </c>
      <c r="D392" t="inlineStr">
        <is>
          <t>VÄSTRA GÖTALANDS LÄN</t>
        </is>
      </c>
      <c r="E392" t="inlineStr">
        <is>
          <t>TROLLHÄTTAN</t>
        </is>
      </c>
      <c r="G392" t="n">
        <v>1.9</v>
      </c>
      <c r="H392" t="n">
        <v>0</v>
      </c>
      <c r="I392" t="n">
        <v>0</v>
      </c>
      <c r="J392" t="n">
        <v>0</v>
      </c>
      <c r="K392" t="n">
        <v>0</v>
      </c>
      <c r="L392" t="n">
        <v>0</v>
      </c>
      <c r="M392" t="n">
        <v>0</v>
      </c>
      <c r="N392" t="n">
        <v>0</v>
      </c>
      <c r="O392" t="n">
        <v>0</v>
      </c>
      <c r="P392" t="n">
        <v>0</v>
      </c>
      <c r="Q392" t="n">
        <v>0</v>
      </c>
      <c r="R392" s="2" t="inlineStr"/>
    </row>
    <row r="393" ht="15" customHeight="1">
      <c r="A393" t="inlineStr">
        <is>
          <t>A 16155-2024</t>
        </is>
      </c>
      <c r="B393" s="1" t="n">
        <v>45406</v>
      </c>
      <c r="C393" s="1" t="n">
        <v>45837</v>
      </c>
      <c r="D393" t="inlineStr">
        <is>
          <t>VÄSTRA GÖTALANDS LÄN</t>
        </is>
      </c>
      <c r="E393" t="inlineStr">
        <is>
          <t>TROLLHÄTTAN</t>
        </is>
      </c>
      <c r="G393" t="n">
        <v>2.5</v>
      </c>
      <c r="H393" t="n">
        <v>0</v>
      </c>
      <c r="I393" t="n">
        <v>0</v>
      </c>
      <c r="J393" t="n">
        <v>0</v>
      </c>
      <c r="K393" t="n">
        <v>0</v>
      </c>
      <c r="L393" t="n">
        <v>0</v>
      </c>
      <c r="M393" t="n">
        <v>0</v>
      </c>
      <c r="N393" t="n">
        <v>0</v>
      </c>
      <c r="O393" t="n">
        <v>0</v>
      </c>
      <c r="P393" t="n">
        <v>0</v>
      </c>
      <c r="Q393" t="n">
        <v>0</v>
      </c>
      <c r="R393" s="2" t="inlineStr"/>
    </row>
    <row r="394" ht="15" customHeight="1">
      <c r="A394" t="inlineStr">
        <is>
          <t>A 16152-2024</t>
        </is>
      </c>
      <c r="B394" s="1" t="n">
        <v>45406</v>
      </c>
      <c r="C394" s="1" t="n">
        <v>45837</v>
      </c>
      <c r="D394" t="inlineStr">
        <is>
          <t>VÄSTRA GÖTALANDS LÄN</t>
        </is>
      </c>
      <c r="E394" t="inlineStr">
        <is>
          <t>TROLLHÄTTAN</t>
        </is>
      </c>
      <c r="G394" t="n">
        <v>0.8</v>
      </c>
      <c r="H394" t="n">
        <v>0</v>
      </c>
      <c r="I394" t="n">
        <v>0</v>
      </c>
      <c r="J394" t="n">
        <v>0</v>
      </c>
      <c r="K394" t="n">
        <v>0</v>
      </c>
      <c r="L394" t="n">
        <v>0</v>
      </c>
      <c r="M394" t="n">
        <v>0</v>
      </c>
      <c r="N394" t="n">
        <v>0</v>
      </c>
      <c r="O394" t="n">
        <v>0</v>
      </c>
      <c r="P394" t="n">
        <v>0</v>
      </c>
      <c r="Q394" t="n">
        <v>0</v>
      </c>
      <c r="R394" s="2" t="inlineStr"/>
    </row>
    <row r="395" ht="15" customHeight="1">
      <c r="A395" t="inlineStr">
        <is>
          <t>A 17753-2024</t>
        </is>
      </c>
      <c r="B395" s="1" t="n">
        <v>45418</v>
      </c>
      <c r="C395" s="1" t="n">
        <v>45837</v>
      </c>
      <c r="D395" t="inlineStr">
        <is>
          <t>VÄSTRA GÖTALANDS LÄN</t>
        </is>
      </c>
      <c r="E395" t="inlineStr">
        <is>
          <t>TROLLHÄTTAN</t>
        </is>
      </c>
      <c r="G395" t="n">
        <v>1.2</v>
      </c>
      <c r="H395" t="n">
        <v>0</v>
      </c>
      <c r="I395" t="n">
        <v>0</v>
      </c>
      <c r="J395" t="n">
        <v>0</v>
      </c>
      <c r="K395" t="n">
        <v>0</v>
      </c>
      <c r="L395" t="n">
        <v>0</v>
      </c>
      <c r="M395" t="n">
        <v>0</v>
      </c>
      <c r="N395" t="n">
        <v>0</v>
      </c>
      <c r="O395" t="n">
        <v>0</v>
      </c>
      <c r="P395" t="n">
        <v>0</v>
      </c>
      <c r="Q395" t="n">
        <v>0</v>
      </c>
      <c r="R395" s="2" t="inlineStr"/>
    </row>
    <row r="396" ht="15" customHeight="1">
      <c r="A396" t="inlineStr">
        <is>
          <t>A 20412-2024</t>
        </is>
      </c>
      <c r="B396" s="1" t="n">
        <v>45435</v>
      </c>
      <c r="C396" s="1" t="n">
        <v>45837</v>
      </c>
      <c r="D396" t="inlineStr">
        <is>
          <t>VÄSTRA GÖTALANDS LÄN</t>
        </is>
      </c>
      <c r="E396" t="inlineStr">
        <is>
          <t>TROLLHÄTTAN</t>
        </is>
      </c>
      <c r="G396" t="n">
        <v>3.9</v>
      </c>
      <c r="H396" t="n">
        <v>0</v>
      </c>
      <c r="I396" t="n">
        <v>0</v>
      </c>
      <c r="J396" t="n">
        <v>0</v>
      </c>
      <c r="K396" t="n">
        <v>0</v>
      </c>
      <c r="L396" t="n">
        <v>0</v>
      </c>
      <c r="M396" t="n">
        <v>0</v>
      </c>
      <c r="N396" t="n">
        <v>0</v>
      </c>
      <c r="O396" t="n">
        <v>0</v>
      </c>
      <c r="P396" t="n">
        <v>0</v>
      </c>
      <c r="Q396" t="n">
        <v>0</v>
      </c>
      <c r="R396" s="2" t="inlineStr"/>
    </row>
    <row r="397" ht="15" customHeight="1">
      <c r="A397" t="inlineStr">
        <is>
          <t>A 20416-2024</t>
        </is>
      </c>
      <c r="B397" s="1" t="n">
        <v>45435</v>
      </c>
      <c r="C397" s="1" t="n">
        <v>45837</v>
      </c>
      <c r="D397" t="inlineStr">
        <is>
          <t>VÄSTRA GÖTALANDS LÄN</t>
        </is>
      </c>
      <c r="E397" t="inlineStr">
        <is>
          <t>TROLLHÄTTAN</t>
        </is>
      </c>
      <c r="G397" t="n">
        <v>2.7</v>
      </c>
      <c r="H397" t="n">
        <v>0</v>
      </c>
      <c r="I397" t="n">
        <v>0</v>
      </c>
      <c r="J397" t="n">
        <v>0</v>
      </c>
      <c r="K397" t="n">
        <v>0</v>
      </c>
      <c r="L397" t="n">
        <v>0</v>
      </c>
      <c r="M397" t="n">
        <v>0</v>
      </c>
      <c r="N397" t="n">
        <v>0</v>
      </c>
      <c r="O397" t="n">
        <v>0</v>
      </c>
      <c r="P397" t="n">
        <v>0</v>
      </c>
      <c r="Q397" t="n">
        <v>0</v>
      </c>
      <c r="R397" s="2" t="inlineStr"/>
    </row>
    <row r="398" ht="15" customHeight="1">
      <c r="A398" t="inlineStr">
        <is>
          <t>A 21442-2024</t>
        </is>
      </c>
      <c r="B398" s="1" t="n">
        <v>45441</v>
      </c>
      <c r="C398" s="1" t="n">
        <v>45837</v>
      </c>
      <c r="D398" t="inlineStr">
        <is>
          <t>VÄSTRA GÖTALANDS LÄN</t>
        </is>
      </c>
      <c r="E398" t="inlineStr">
        <is>
          <t>TROLLHÄTTAN</t>
        </is>
      </c>
      <c r="G398" t="n">
        <v>4.7</v>
      </c>
      <c r="H398" t="n">
        <v>0</v>
      </c>
      <c r="I398" t="n">
        <v>0</v>
      </c>
      <c r="J398" t="n">
        <v>0</v>
      </c>
      <c r="K398" t="n">
        <v>0</v>
      </c>
      <c r="L398" t="n">
        <v>0</v>
      </c>
      <c r="M398" t="n">
        <v>0</v>
      </c>
      <c r="N398" t="n">
        <v>0</v>
      </c>
      <c r="O398" t="n">
        <v>0</v>
      </c>
      <c r="P398" t="n">
        <v>0</v>
      </c>
      <c r="Q398" t="n">
        <v>0</v>
      </c>
      <c r="R398" s="2" t="inlineStr"/>
    </row>
    <row r="399" ht="15" customHeight="1">
      <c r="A399" t="inlineStr">
        <is>
          <t>A 23197-2024</t>
        </is>
      </c>
      <c r="B399" s="1" t="n">
        <v>45451</v>
      </c>
      <c r="C399" s="1" t="n">
        <v>45837</v>
      </c>
      <c r="D399" t="inlineStr">
        <is>
          <t>VÄSTRA GÖTALANDS LÄN</t>
        </is>
      </c>
      <c r="E399" t="inlineStr">
        <is>
          <t>TROLLHÄTTAN</t>
        </is>
      </c>
      <c r="G399" t="n">
        <v>3.1</v>
      </c>
      <c r="H399" t="n">
        <v>0</v>
      </c>
      <c r="I399" t="n">
        <v>0</v>
      </c>
      <c r="J399" t="n">
        <v>0</v>
      </c>
      <c r="K399" t="n">
        <v>0</v>
      </c>
      <c r="L399" t="n">
        <v>0</v>
      </c>
      <c r="M399" t="n">
        <v>0</v>
      </c>
      <c r="N399" t="n">
        <v>0</v>
      </c>
      <c r="O399" t="n">
        <v>0</v>
      </c>
      <c r="P399" t="n">
        <v>0</v>
      </c>
      <c r="Q399" t="n">
        <v>0</v>
      </c>
      <c r="R399" s="2" t="inlineStr"/>
    </row>
    <row r="400" ht="15" customHeight="1">
      <c r="A400" t="inlineStr">
        <is>
          <t>A 23984-2024</t>
        </is>
      </c>
      <c r="B400" s="1" t="n">
        <v>45456</v>
      </c>
      <c r="C400" s="1" t="n">
        <v>45837</v>
      </c>
      <c r="D400" t="inlineStr">
        <is>
          <t>VÄSTRA GÖTALANDS LÄN</t>
        </is>
      </c>
      <c r="E400" t="inlineStr">
        <is>
          <t>TROLLHÄTTAN</t>
        </is>
      </c>
      <c r="G400" t="n">
        <v>1.3</v>
      </c>
      <c r="H400" t="n">
        <v>0</v>
      </c>
      <c r="I400" t="n">
        <v>0</v>
      </c>
      <c r="J400" t="n">
        <v>0</v>
      </c>
      <c r="K400" t="n">
        <v>0</v>
      </c>
      <c r="L400" t="n">
        <v>0</v>
      </c>
      <c r="M400" t="n">
        <v>0</v>
      </c>
      <c r="N400" t="n">
        <v>0</v>
      </c>
      <c r="O400" t="n">
        <v>0</v>
      </c>
      <c r="P400" t="n">
        <v>0</v>
      </c>
      <c r="Q400" t="n">
        <v>0</v>
      </c>
      <c r="R400" s="2" t="inlineStr"/>
    </row>
    <row r="401" ht="15" customHeight="1">
      <c r="A401" t="inlineStr">
        <is>
          <t>A 23989-2024</t>
        </is>
      </c>
      <c r="B401" s="1" t="n">
        <v>45456</v>
      </c>
      <c r="C401" s="1" t="n">
        <v>45837</v>
      </c>
      <c r="D401" t="inlineStr">
        <is>
          <t>VÄSTRA GÖTALANDS LÄN</t>
        </is>
      </c>
      <c r="E401" t="inlineStr">
        <is>
          <t>TROLLHÄTTAN</t>
        </is>
      </c>
      <c r="G401" t="n">
        <v>4.5</v>
      </c>
      <c r="H401" t="n">
        <v>0</v>
      </c>
      <c r="I401" t="n">
        <v>0</v>
      </c>
      <c r="J401" t="n">
        <v>0</v>
      </c>
      <c r="K401" t="n">
        <v>0</v>
      </c>
      <c r="L401" t="n">
        <v>0</v>
      </c>
      <c r="M401" t="n">
        <v>0</v>
      </c>
      <c r="N401" t="n">
        <v>0</v>
      </c>
      <c r="O401" t="n">
        <v>0</v>
      </c>
      <c r="P401" t="n">
        <v>0</v>
      </c>
      <c r="Q401" t="n">
        <v>0</v>
      </c>
      <c r="R401" s="2" t="inlineStr"/>
    </row>
    <row r="402" ht="15" customHeight="1">
      <c r="A402" t="inlineStr">
        <is>
          <t>A 24129-2024</t>
        </is>
      </c>
      <c r="B402" s="1" t="n">
        <v>45456</v>
      </c>
      <c r="C402" s="1" t="n">
        <v>45837</v>
      </c>
      <c r="D402" t="inlineStr">
        <is>
          <t>VÄSTRA GÖTALANDS LÄN</t>
        </is>
      </c>
      <c r="E402" t="inlineStr">
        <is>
          <t>TROLLHÄTTAN</t>
        </is>
      </c>
      <c r="G402" t="n">
        <v>1.7</v>
      </c>
      <c r="H402" t="n">
        <v>0</v>
      </c>
      <c r="I402" t="n">
        <v>0</v>
      </c>
      <c r="J402" t="n">
        <v>0</v>
      </c>
      <c r="K402" t="n">
        <v>0</v>
      </c>
      <c r="L402" t="n">
        <v>0</v>
      </c>
      <c r="M402" t="n">
        <v>0</v>
      </c>
      <c r="N402" t="n">
        <v>0</v>
      </c>
      <c r="O402" t="n">
        <v>0</v>
      </c>
      <c r="P402" t="n">
        <v>0</v>
      </c>
      <c r="Q402" t="n">
        <v>0</v>
      </c>
      <c r="R402" s="2" t="inlineStr"/>
    </row>
    <row r="403" ht="15" customHeight="1">
      <c r="A403" t="inlineStr">
        <is>
          <t>A 24127-2024</t>
        </is>
      </c>
      <c r="B403" s="1" t="n">
        <v>45456</v>
      </c>
      <c r="C403" s="1" t="n">
        <v>45837</v>
      </c>
      <c r="D403" t="inlineStr">
        <is>
          <t>VÄSTRA GÖTALANDS LÄN</t>
        </is>
      </c>
      <c r="E403" t="inlineStr">
        <is>
          <t>TROLLHÄTTAN</t>
        </is>
      </c>
      <c r="G403" t="n">
        <v>1.8</v>
      </c>
      <c r="H403" t="n">
        <v>0</v>
      </c>
      <c r="I403" t="n">
        <v>0</v>
      </c>
      <c r="J403" t="n">
        <v>0</v>
      </c>
      <c r="K403" t="n">
        <v>0</v>
      </c>
      <c r="L403" t="n">
        <v>0</v>
      </c>
      <c r="M403" t="n">
        <v>0</v>
      </c>
      <c r="N403" t="n">
        <v>0</v>
      </c>
      <c r="O403" t="n">
        <v>0</v>
      </c>
      <c r="P403" t="n">
        <v>0</v>
      </c>
      <c r="Q403" t="n">
        <v>0</v>
      </c>
      <c r="R403" s="2" t="inlineStr"/>
    </row>
    <row r="404" ht="15" customHeight="1">
      <c r="A404" t="inlineStr">
        <is>
          <t>A 26993-2024</t>
        </is>
      </c>
      <c r="B404" s="1" t="n">
        <v>45471</v>
      </c>
      <c r="C404" s="1" t="n">
        <v>45837</v>
      </c>
      <c r="D404" t="inlineStr">
        <is>
          <t>VÄSTRA GÖTALANDS LÄN</t>
        </is>
      </c>
      <c r="E404" t="inlineStr">
        <is>
          <t>TROLLHÄTTAN</t>
        </is>
      </c>
      <c r="G404" t="n">
        <v>1</v>
      </c>
      <c r="H404" t="n">
        <v>0</v>
      </c>
      <c r="I404" t="n">
        <v>0</v>
      </c>
      <c r="J404" t="n">
        <v>0</v>
      </c>
      <c r="K404" t="n">
        <v>0</v>
      </c>
      <c r="L404" t="n">
        <v>0</v>
      </c>
      <c r="M404" t="n">
        <v>0</v>
      </c>
      <c r="N404" t="n">
        <v>0</v>
      </c>
      <c r="O404" t="n">
        <v>0</v>
      </c>
      <c r="P404" t="n">
        <v>0</v>
      </c>
      <c r="Q404" t="n">
        <v>0</v>
      </c>
      <c r="R404" s="2" t="inlineStr"/>
    </row>
    <row r="405" ht="15" customHeight="1">
      <c r="A405" t="inlineStr">
        <is>
          <t>A 27868-2024</t>
        </is>
      </c>
      <c r="B405" s="1" t="n">
        <v>45475</v>
      </c>
      <c r="C405" s="1" t="n">
        <v>45837</v>
      </c>
      <c r="D405" t="inlineStr">
        <is>
          <t>VÄSTRA GÖTALANDS LÄN</t>
        </is>
      </c>
      <c r="E405" t="inlineStr">
        <is>
          <t>TROLLHÄTTAN</t>
        </is>
      </c>
      <c r="G405" t="n">
        <v>2</v>
      </c>
      <c r="H405" t="n">
        <v>0</v>
      </c>
      <c r="I405" t="n">
        <v>0</v>
      </c>
      <c r="J405" t="n">
        <v>0</v>
      </c>
      <c r="K405" t="n">
        <v>0</v>
      </c>
      <c r="L405" t="n">
        <v>0</v>
      </c>
      <c r="M405" t="n">
        <v>0</v>
      </c>
      <c r="N405" t="n">
        <v>0</v>
      </c>
      <c r="O405" t="n">
        <v>0</v>
      </c>
      <c r="P405" t="n">
        <v>0</v>
      </c>
      <c r="Q405" t="n">
        <v>0</v>
      </c>
      <c r="R405" s="2" t="inlineStr"/>
    </row>
    <row r="406" ht="15" customHeight="1">
      <c r="A406" t="inlineStr">
        <is>
          <t>A 28025-2024</t>
        </is>
      </c>
      <c r="B406" s="1" t="n">
        <v>45476</v>
      </c>
      <c r="C406" s="1" t="n">
        <v>45837</v>
      </c>
      <c r="D406" t="inlineStr">
        <is>
          <t>VÄSTRA GÖTALANDS LÄN</t>
        </is>
      </c>
      <c r="E406" t="inlineStr">
        <is>
          <t>TROLLHÄTTAN</t>
        </is>
      </c>
      <c r="G406" t="n">
        <v>3.4</v>
      </c>
      <c r="H406" t="n">
        <v>0</v>
      </c>
      <c r="I406" t="n">
        <v>0</v>
      </c>
      <c r="J406" t="n">
        <v>0</v>
      </c>
      <c r="K406" t="n">
        <v>0</v>
      </c>
      <c r="L406" t="n">
        <v>0</v>
      </c>
      <c r="M406" t="n">
        <v>0</v>
      </c>
      <c r="N406" t="n">
        <v>0</v>
      </c>
      <c r="O406" t="n">
        <v>0</v>
      </c>
      <c r="P406" t="n">
        <v>0</v>
      </c>
      <c r="Q406" t="n">
        <v>0</v>
      </c>
      <c r="R406" s="2" t="inlineStr"/>
    </row>
    <row r="407" ht="15" customHeight="1">
      <c r="A407" t="inlineStr">
        <is>
          <t>A 29300-2024</t>
        </is>
      </c>
      <c r="B407" s="1" t="n">
        <v>45483</v>
      </c>
      <c r="C407" s="1" t="n">
        <v>45837</v>
      </c>
      <c r="D407" t="inlineStr">
        <is>
          <t>VÄSTRA GÖTALANDS LÄN</t>
        </is>
      </c>
      <c r="E407" t="inlineStr">
        <is>
          <t>TROLLHÄTTAN</t>
        </is>
      </c>
      <c r="G407" t="n">
        <v>0.8</v>
      </c>
      <c r="H407" t="n">
        <v>0</v>
      </c>
      <c r="I407" t="n">
        <v>0</v>
      </c>
      <c r="J407" t="n">
        <v>0</v>
      </c>
      <c r="K407" t="n">
        <v>0</v>
      </c>
      <c r="L407" t="n">
        <v>0</v>
      </c>
      <c r="M407" t="n">
        <v>0</v>
      </c>
      <c r="N407" t="n">
        <v>0</v>
      </c>
      <c r="O407" t="n">
        <v>0</v>
      </c>
      <c r="P407" t="n">
        <v>0</v>
      </c>
      <c r="Q407" t="n">
        <v>0</v>
      </c>
      <c r="R407" s="2" t="inlineStr"/>
    </row>
    <row r="408" ht="15" customHeight="1">
      <c r="A408" t="inlineStr">
        <is>
          <t>A 30121-2024</t>
        </is>
      </c>
      <c r="B408" s="1" t="n">
        <v>45489</v>
      </c>
      <c r="C408" s="1" t="n">
        <v>45837</v>
      </c>
      <c r="D408" t="inlineStr">
        <is>
          <t>VÄSTRA GÖTALANDS LÄN</t>
        </is>
      </c>
      <c r="E408" t="inlineStr">
        <is>
          <t>TROLLHÄTTAN</t>
        </is>
      </c>
      <c r="G408" t="n">
        <v>1.5</v>
      </c>
      <c r="H408" t="n">
        <v>0</v>
      </c>
      <c r="I408" t="n">
        <v>0</v>
      </c>
      <c r="J408" t="n">
        <v>0</v>
      </c>
      <c r="K408" t="n">
        <v>0</v>
      </c>
      <c r="L408" t="n">
        <v>0</v>
      </c>
      <c r="M408" t="n">
        <v>0</v>
      </c>
      <c r="N408" t="n">
        <v>0</v>
      </c>
      <c r="O408" t="n">
        <v>0</v>
      </c>
      <c r="P408" t="n">
        <v>0</v>
      </c>
      <c r="Q408" t="n">
        <v>0</v>
      </c>
      <c r="R408" s="2" t="inlineStr"/>
    </row>
    <row r="409" ht="15" customHeight="1">
      <c r="A409" t="inlineStr">
        <is>
          <t>A 30200-2024</t>
        </is>
      </c>
      <c r="B409" s="1" t="n">
        <v>45490</v>
      </c>
      <c r="C409" s="1" t="n">
        <v>45837</v>
      </c>
      <c r="D409" t="inlineStr">
        <is>
          <t>VÄSTRA GÖTALANDS LÄN</t>
        </is>
      </c>
      <c r="E409" t="inlineStr">
        <is>
          <t>TROLLHÄTTAN</t>
        </is>
      </c>
      <c r="G409" t="n">
        <v>1.1</v>
      </c>
      <c r="H409" t="n">
        <v>0</v>
      </c>
      <c r="I409" t="n">
        <v>0</v>
      </c>
      <c r="J409" t="n">
        <v>0</v>
      </c>
      <c r="K409" t="n">
        <v>0</v>
      </c>
      <c r="L409" t="n">
        <v>0</v>
      </c>
      <c r="M409" t="n">
        <v>0</v>
      </c>
      <c r="N409" t="n">
        <v>0</v>
      </c>
      <c r="O409" t="n">
        <v>0</v>
      </c>
      <c r="P409" t="n">
        <v>0</v>
      </c>
      <c r="Q409" t="n">
        <v>0</v>
      </c>
      <c r="R409" s="2" t="inlineStr"/>
    </row>
    <row r="410" ht="15" customHeight="1">
      <c r="A410" t="inlineStr">
        <is>
          <t>A 30196-2024</t>
        </is>
      </c>
      <c r="B410" s="1" t="n">
        <v>45490</v>
      </c>
      <c r="C410" s="1" t="n">
        <v>45837</v>
      </c>
      <c r="D410" t="inlineStr">
        <is>
          <t>VÄSTRA GÖTALANDS LÄN</t>
        </is>
      </c>
      <c r="E410" t="inlineStr">
        <is>
          <t>TROLLHÄTTAN</t>
        </is>
      </c>
      <c r="G410" t="n">
        <v>3.7</v>
      </c>
      <c r="H410" t="n">
        <v>0</v>
      </c>
      <c r="I410" t="n">
        <v>0</v>
      </c>
      <c r="J410" t="n">
        <v>0</v>
      </c>
      <c r="K410" t="n">
        <v>0</v>
      </c>
      <c r="L410" t="n">
        <v>0</v>
      </c>
      <c r="M410" t="n">
        <v>0</v>
      </c>
      <c r="N410" t="n">
        <v>0</v>
      </c>
      <c r="O410" t="n">
        <v>0</v>
      </c>
      <c r="P410" t="n">
        <v>0</v>
      </c>
      <c r="Q410" t="n">
        <v>0</v>
      </c>
      <c r="R410" s="2" t="inlineStr"/>
    </row>
    <row r="411" ht="15" customHeight="1">
      <c r="A411" t="inlineStr">
        <is>
          <t>A 30773-2024</t>
        </is>
      </c>
      <c r="B411" s="1" t="n">
        <v>45497</v>
      </c>
      <c r="C411" s="1" t="n">
        <v>45837</v>
      </c>
      <c r="D411" t="inlineStr">
        <is>
          <t>VÄSTRA GÖTALANDS LÄN</t>
        </is>
      </c>
      <c r="E411" t="inlineStr">
        <is>
          <t>TROLLHÄTTAN</t>
        </is>
      </c>
      <c r="G411" t="n">
        <v>0.9</v>
      </c>
      <c r="H411" t="n">
        <v>0</v>
      </c>
      <c r="I411" t="n">
        <v>0</v>
      </c>
      <c r="J411" t="n">
        <v>0</v>
      </c>
      <c r="K411" t="n">
        <v>0</v>
      </c>
      <c r="L411" t="n">
        <v>0</v>
      </c>
      <c r="M411" t="n">
        <v>0</v>
      </c>
      <c r="N411" t="n">
        <v>0</v>
      </c>
      <c r="O411" t="n">
        <v>0</v>
      </c>
      <c r="P411" t="n">
        <v>0</v>
      </c>
      <c r="Q411" t="n">
        <v>0</v>
      </c>
      <c r="R411" s="2" t="inlineStr"/>
    </row>
    <row r="412" ht="15" customHeight="1">
      <c r="A412" t="inlineStr">
        <is>
          <t>A 30796-2024</t>
        </is>
      </c>
      <c r="B412" s="1" t="n">
        <v>45497</v>
      </c>
      <c r="C412" s="1" t="n">
        <v>45837</v>
      </c>
      <c r="D412" t="inlineStr">
        <is>
          <t>VÄSTRA GÖTALANDS LÄN</t>
        </is>
      </c>
      <c r="E412" t="inlineStr">
        <is>
          <t>TROLLHÄTTAN</t>
        </is>
      </c>
      <c r="G412" t="n">
        <v>3.7</v>
      </c>
      <c r="H412" t="n">
        <v>0</v>
      </c>
      <c r="I412" t="n">
        <v>0</v>
      </c>
      <c r="J412" t="n">
        <v>0</v>
      </c>
      <c r="K412" t="n">
        <v>0</v>
      </c>
      <c r="L412" t="n">
        <v>0</v>
      </c>
      <c r="M412" t="n">
        <v>0</v>
      </c>
      <c r="N412" t="n">
        <v>0</v>
      </c>
      <c r="O412" t="n">
        <v>0</v>
      </c>
      <c r="P412" t="n">
        <v>0</v>
      </c>
      <c r="Q412" t="n">
        <v>0</v>
      </c>
      <c r="R412" s="2" t="inlineStr"/>
    </row>
    <row r="413" ht="15" customHeight="1">
      <c r="A413" t="inlineStr">
        <is>
          <t>A 32121-2024</t>
        </is>
      </c>
      <c r="B413" s="1" t="n">
        <v>45511</v>
      </c>
      <c r="C413" s="1" t="n">
        <v>45837</v>
      </c>
      <c r="D413" t="inlineStr">
        <is>
          <t>VÄSTRA GÖTALANDS LÄN</t>
        </is>
      </c>
      <c r="E413" t="inlineStr">
        <is>
          <t>TROLLHÄTTAN</t>
        </is>
      </c>
      <c r="G413" t="n">
        <v>1.3</v>
      </c>
      <c r="H413" t="n">
        <v>0</v>
      </c>
      <c r="I413" t="n">
        <v>0</v>
      </c>
      <c r="J413" t="n">
        <v>0</v>
      </c>
      <c r="K413" t="n">
        <v>0</v>
      </c>
      <c r="L413" t="n">
        <v>0</v>
      </c>
      <c r="M413" t="n">
        <v>0</v>
      </c>
      <c r="N413" t="n">
        <v>0</v>
      </c>
      <c r="O413" t="n">
        <v>0</v>
      </c>
      <c r="P413" t="n">
        <v>0</v>
      </c>
      <c r="Q413" t="n">
        <v>0</v>
      </c>
      <c r="R413" s="2" t="inlineStr"/>
    </row>
    <row r="414" ht="15" customHeight="1">
      <c r="A414" t="inlineStr">
        <is>
          <t>A 32527-2024</t>
        </is>
      </c>
      <c r="B414" s="1" t="n">
        <v>45513</v>
      </c>
      <c r="C414" s="1" t="n">
        <v>45837</v>
      </c>
      <c r="D414" t="inlineStr">
        <is>
          <t>VÄSTRA GÖTALANDS LÄN</t>
        </is>
      </c>
      <c r="E414" t="inlineStr">
        <is>
          <t>TROLLHÄTTAN</t>
        </is>
      </c>
      <c r="F414" t="inlineStr">
        <is>
          <t>Kyrkan</t>
        </is>
      </c>
      <c r="G414" t="n">
        <v>8.699999999999999</v>
      </c>
      <c r="H414" t="n">
        <v>0</v>
      </c>
      <c r="I414" t="n">
        <v>0</v>
      </c>
      <c r="J414" t="n">
        <v>0</v>
      </c>
      <c r="K414" t="n">
        <v>0</v>
      </c>
      <c r="L414" t="n">
        <v>0</v>
      </c>
      <c r="M414" t="n">
        <v>0</v>
      </c>
      <c r="N414" t="n">
        <v>0</v>
      </c>
      <c r="O414" t="n">
        <v>0</v>
      </c>
      <c r="P414" t="n">
        <v>0</v>
      </c>
      <c r="Q414" t="n">
        <v>0</v>
      </c>
      <c r="R414" s="2" t="inlineStr"/>
    </row>
    <row r="415" ht="15" customHeight="1">
      <c r="A415" t="inlineStr">
        <is>
          <t>A 32537-2024</t>
        </is>
      </c>
      <c r="B415" s="1" t="n">
        <v>45513</v>
      </c>
      <c r="C415" s="1" t="n">
        <v>45837</v>
      </c>
      <c r="D415" t="inlineStr">
        <is>
          <t>VÄSTRA GÖTALANDS LÄN</t>
        </is>
      </c>
      <c r="E415" t="inlineStr">
        <is>
          <t>TROLLHÄTTAN</t>
        </is>
      </c>
      <c r="F415" t="inlineStr">
        <is>
          <t>Kyrkan</t>
        </is>
      </c>
      <c r="G415" t="n">
        <v>1.6</v>
      </c>
      <c r="H415" t="n">
        <v>0</v>
      </c>
      <c r="I415" t="n">
        <v>0</v>
      </c>
      <c r="J415" t="n">
        <v>0</v>
      </c>
      <c r="K415" t="n">
        <v>0</v>
      </c>
      <c r="L415" t="n">
        <v>0</v>
      </c>
      <c r="M415" t="n">
        <v>0</v>
      </c>
      <c r="N415" t="n">
        <v>0</v>
      </c>
      <c r="O415" t="n">
        <v>0</v>
      </c>
      <c r="P415" t="n">
        <v>0</v>
      </c>
      <c r="Q415" t="n">
        <v>0</v>
      </c>
      <c r="R415" s="2" t="inlineStr"/>
    </row>
    <row r="416" ht="15" customHeight="1">
      <c r="A416" t="inlineStr">
        <is>
          <t>A 32541-2024</t>
        </is>
      </c>
      <c r="B416" s="1" t="n">
        <v>45513</v>
      </c>
      <c r="C416" s="1" t="n">
        <v>45837</v>
      </c>
      <c r="D416" t="inlineStr">
        <is>
          <t>VÄSTRA GÖTALANDS LÄN</t>
        </is>
      </c>
      <c r="E416" t="inlineStr">
        <is>
          <t>TROLLHÄTTAN</t>
        </is>
      </c>
      <c r="F416" t="inlineStr">
        <is>
          <t>Kyrkan</t>
        </is>
      </c>
      <c r="G416" t="n">
        <v>0.5</v>
      </c>
      <c r="H416" t="n">
        <v>0</v>
      </c>
      <c r="I416" t="n">
        <v>0</v>
      </c>
      <c r="J416" t="n">
        <v>0</v>
      </c>
      <c r="K416" t="n">
        <v>0</v>
      </c>
      <c r="L416" t="n">
        <v>0</v>
      </c>
      <c r="M416" t="n">
        <v>0</v>
      </c>
      <c r="N416" t="n">
        <v>0</v>
      </c>
      <c r="O416" t="n">
        <v>0</v>
      </c>
      <c r="P416" t="n">
        <v>0</v>
      </c>
      <c r="Q416" t="n">
        <v>0</v>
      </c>
      <c r="R416" s="2" t="inlineStr"/>
    </row>
    <row r="417" ht="15" customHeight="1">
      <c r="A417" t="inlineStr">
        <is>
          <t>A 34435-2024</t>
        </is>
      </c>
      <c r="B417" s="1" t="n">
        <v>45525</v>
      </c>
      <c r="C417" s="1" t="n">
        <v>45837</v>
      </c>
      <c r="D417" t="inlineStr">
        <is>
          <t>VÄSTRA GÖTALANDS LÄN</t>
        </is>
      </c>
      <c r="E417" t="inlineStr">
        <is>
          <t>TROLLHÄTTAN</t>
        </is>
      </c>
      <c r="G417" t="n">
        <v>2.9</v>
      </c>
      <c r="H417" t="n">
        <v>0</v>
      </c>
      <c r="I417" t="n">
        <v>0</v>
      </c>
      <c r="J417" t="n">
        <v>0</v>
      </c>
      <c r="K417" t="n">
        <v>0</v>
      </c>
      <c r="L417" t="n">
        <v>0</v>
      </c>
      <c r="M417" t="n">
        <v>0</v>
      </c>
      <c r="N417" t="n">
        <v>0</v>
      </c>
      <c r="O417" t="n">
        <v>0</v>
      </c>
      <c r="P417" t="n">
        <v>0</v>
      </c>
      <c r="Q417" t="n">
        <v>0</v>
      </c>
      <c r="R417" s="2" t="inlineStr"/>
    </row>
    <row r="418" ht="15" customHeight="1">
      <c r="A418" t="inlineStr">
        <is>
          <t>A 34681-2024</t>
        </is>
      </c>
      <c r="B418" s="1" t="n">
        <v>45526</v>
      </c>
      <c r="C418" s="1" t="n">
        <v>45837</v>
      </c>
      <c r="D418" t="inlineStr">
        <is>
          <t>VÄSTRA GÖTALANDS LÄN</t>
        </is>
      </c>
      <c r="E418" t="inlineStr">
        <is>
          <t>TROLLHÄTTAN</t>
        </is>
      </c>
      <c r="G418" t="n">
        <v>2.5</v>
      </c>
      <c r="H418" t="n">
        <v>0</v>
      </c>
      <c r="I418" t="n">
        <v>0</v>
      </c>
      <c r="J418" t="n">
        <v>0</v>
      </c>
      <c r="K418" t="n">
        <v>0</v>
      </c>
      <c r="L418" t="n">
        <v>0</v>
      </c>
      <c r="M418" t="n">
        <v>0</v>
      </c>
      <c r="N418" t="n">
        <v>0</v>
      </c>
      <c r="O418" t="n">
        <v>0</v>
      </c>
      <c r="P418" t="n">
        <v>0</v>
      </c>
      <c r="Q418" t="n">
        <v>0</v>
      </c>
      <c r="R418" s="2" t="inlineStr"/>
    </row>
    <row r="419" ht="15" customHeight="1">
      <c r="A419" t="inlineStr">
        <is>
          <t>A 35969-2024</t>
        </is>
      </c>
      <c r="B419" s="1" t="n">
        <v>45533</v>
      </c>
      <c r="C419" s="1" t="n">
        <v>45837</v>
      </c>
      <c r="D419" t="inlineStr">
        <is>
          <t>VÄSTRA GÖTALANDS LÄN</t>
        </is>
      </c>
      <c r="E419" t="inlineStr">
        <is>
          <t>TROLLHÄTTAN</t>
        </is>
      </c>
      <c r="G419" t="n">
        <v>1.3</v>
      </c>
      <c r="H419" t="n">
        <v>0</v>
      </c>
      <c r="I419" t="n">
        <v>0</v>
      </c>
      <c r="J419" t="n">
        <v>0</v>
      </c>
      <c r="K419" t="n">
        <v>0</v>
      </c>
      <c r="L419" t="n">
        <v>0</v>
      </c>
      <c r="M419" t="n">
        <v>0</v>
      </c>
      <c r="N419" t="n">
        <v>0</v>
      </c>
      <c r="O419" t="n">
        <v>0</v>
      </c>
      <c r="P419" t="n">
        <v>0</v>
      </c>
      <c r="Q419" t="n">
        <v>0</v>
      </c>
      <c r="R419" s="2" t="inlineStr"/>
    </row>
    <row r="420" ht="15" customHeight="1">
      <c r="A420" t="inlineStr">
        <is>
          <t>A 35973-2024</t>
        </is>
      </c>
      <c r="B420" s="1" t="n">
        <v>45533</v>
      </c>
      <c r="C420" s="1" t="n">
        <v>45837</v>
      </c>
      <c r="D420" t="inlineStr">
        <is>
          <t>VÄSTRA GÖTALANDS LÄN</t>
        </is>
      </c>
      <c r="E420" t="inlineStr">
        <is>
          <t>TROLLHÄTTAN</t>
        </is>
      </c>
      <c r="G420" t="n">
        <v>1.1</v>
      </c>
      <c r="H420" t="n">
        <v>0</v>
      </c>
      <c r="I420" t="n">
        <v>0</v>
      </c>
      <c r="J420" t="n">
        <v>0</v>
      </c>
      <c r="K420" t="n">
        <v>0</v>
      </c>
      <c r="L420" t="n">
        <v>0</v>
      </c>
      <c r="M420" t="n">
        <v>0</v>
      </c>
      <c r="N420" t="n">
        <v>0</v>
      </c>
      <c r="O420" t="n">
        <v>0</v>
      </c>
      <c r="P420" t="n">
        <v>0</v>
      </c>
      <c r="Q420" t="n">
        <v>0</v>
      </c>
      <c r="R420" s="2" t="inlineStr"/>
    </row>
    <row r="421" ht="15" customHeight="1">
      <c r="A421" t="inlineStr">
        <is>
          <t>A 36749-2024</t>
        </is>
      </c>
      <c r="B421" s="1" t="n">
        <v>45538</v>
      </c>
      <c r="C421" s="1" t="n">
        <v>45837</v>
      </c>
      <c r="D421" t="inlineStr">
        <is>
          <t>VÄSTRA GÖTALANDS LÄN</t>
        </is>
      </c>
      <c r="E421" t="inlineStr">
        <is>
          <t>TROLLHÄTTAN</t>
        </is>
      </c>
      <c r="G421" t="n">
        <v>8.5</v>
      </c>
      <c r="H421" t="n">
        <v>0</v>
      </c>
      <c r="I421" t="n">
        <v>0</v>
      </c>
      <c r="J421" t="n">
        <v>0</v>
      </c>
      <c r="K421" t="n">
        <v>0</v>
      </c>
      <c r="L421" t="n">
        <v>0</v>
      </c>
      <c r="M421" t="n">
        <v>0</v>
      </c>
      <c r="N421" t="n">
        <v>0</v>
      </c>
      <c r="O421" t="n">
        <v>0</v>
      </c>
      <c r="P421" t="n">
        <v>0</v>
      </c>
      <c r="Q421" t="n">
        <v>0</v>
      </c>
      <c r="R421" s="2" t="inlineStr"/>
    </row>
    <row r="422" ht="15" customHeight="1">
      <c r="A422" t="inlineStr">
        <is>
          <t>A 36982-2024</t>
        </is>
      </c>
      <c r="B422" s="1" t="n">
        <v>45539</v>
      </c>
      <c r="C422" s="1" t="n">
        <v>45837</v>
      </c>
      <c r="D422" t="inlineStr">
        <is>
          <t>VÄSTRA GÖTALANDS LÄN</t>
        </is>
      </c>
      <c r="E422" t="inlineStr">
        <is>
          <t>TROLLHÄTTAN</t>
        </is>
      </c>
      <c r="G422" t="n">
        <v>3.4</v>
      </c>
      <c r="H422" t="n">
        <v>0</v>
      </c>
      <c r="I422" t="n">
        <v>0</v>
      </c>
      <c r="J422" t="n">
        <v>0</v>
      </c>
      <c r="K422" t="n">
        <v>0</v>
      </c>
      <c r="L422" t="n">
        <v>0</v>
      </c>
      <c r="M422" t="n">
        <v>0</v>
      </c>
      <c r="N422" t="n">
        <v>0</v>
      </c>
      <c r="O422" t="n">
        <v>0</v>
      </c>
      <c r="P422" t="n">
        <v>0</v>
      </c>
      <c r="Q422" t="n">
        <v>0</v>
      </c>
      <c r="R422" s="2" t="inlineStr"/>
    </row>
    <row r="423" ht="15" customHeight="1">
      <c r="A423" t="inlineStr">
        <is>
          <t>A 37274-2024</t>
        </is>
      </c>
      <c r="B423" s="1" t="n">
        <v>45540</v>
      </c>
      <c r="C423" s="1" t="n">
        <v>45837</v>
      </c>
      <c r="D423" t="inlineStr">
        <is>
          <t>VÄSTRA GÖTALANDS LÄN</t>
        </is>
      </c>
      <c r="E423" t="inlineStr">
        <is>
          <t>TROLLHÄTTAN</t>
        </is>
      </c>
      <c r="G423" t="n">
        <v>3.2</v>
      </c>
      <c r="H423" t="n">
        <v>0</v>
      </c>
      <c r="I423" t="n">
        <v>0</v>
      </c>
      <c r="J423" t="n">
        <v>0</v>
      </c>
      <c r="K423" t="n">
        <v>0</v>
      </c>
      <c r="L423" t="n">
        <v>0</v>
      </c>
      <c r="M423" t="n">
        <v>0</v>
      </c>
      <c r="N423" t="n">
        <v>0</v>
      </c>
      <c r="O423" t="n">
        <v>0</v>
      </c>
      <c r="P423" t="n">
        <v>0</v>
      </c>
      <c r="Q423" t="n">
        <v>0</v>
      </c>
      <c r="R423" s="2" t="inlineStr"/>
    </row>
    <row r="424" ht="15" customHeight="1">
      <c r="A424" t="inlineStr">
        <is>
          <t>A 37556-2024</t>
        </is>
      </c>
      <c r="B424" s="1" t="n">
        <v>45541</v>
      </c>
      <c r="C424" s="1" t="n">
        <v>45837</v>
      </c>
      <c r="D424" t="inlineStr">
        <is>
          <t>VÄSTRA GÖTALANDS LÄN</t>
        </is>
      </c>
      <c r="E424" t="inlineStr">
        <is>
          <t>TROLLHÄTTAN</t>
        </is>
      </c>
      <c r="G424" t="n">
        <v>2.5</v>
      </c>
      <c r="H424" t="n">
        <v>0</v>
      </c>
      <c r="I424" t="n">
        <v>0</v>
      </c>
      <c r="J424" t="n">
        <v>0</v>
      </c>
      <c r="K424" t="n">
        <v>0</v>
      </c>
      <c r="L424" t="n">
        <v>0</v>
      </c>
      <c r="M424" t="n">
        <v>0</v>
      </c>
      <c r="N424" t="n">
        <v>0</v>
      </c>
      <c r="O424" t="n">
        <v>0</v>
      </c>
      <c r="P424" t="n">
        <v>0</v>
      </c>
      <c r="Q424" t="n">
        <v>0</v>
      </c>
      <c r="R424" s="2" t="inlineStr"/>
    </row>
    <row r="425" ht="15" customHeight="1">
      <c r="A425" t="inlineStr">
        <is>
          <t>A 37562-2024</t>
        </is>
      </c>
      <c r="B425" s="1" t="n">
        <v>45541</v>
      </c>
      <c r="C425" s="1" t="n">
        <v>45837</v>
      </c>
      <c r="D425" t="inlineStr">
        <is>
          <t>VÄSTRA GÖTALANDS LÄN</t>
        </is>
      </c>
      <c r="E425" t="inlineStr">
        <is>
          <t>TROLLHÄTTAN</t>
        </is>
      </c>
      <c r="G425" t="n">
        <v>4.2</v>
      </c>
      <c r="H425" t="n">
        <v>0</v>
      </c>
      <c r="I425" t="n">
        <v>0</v>
      </c>
      <c r="J425" t="n">
        <v>0</v>
      </c>
      <c r="K425" t="n">
        <v>0</v>
      </c>
      <c r="L425" t="n">
        <v>0</v>
      </c>
      <c r="M425" t="n">
        <v>0</v>
      </c>
      <c r="N425" t="n">
        <v>0</v>
      </c>
      <c r="O425" t="n">
        <v>0</v>
      </c>
      <c r="P425" t="n">
        <v>0</v>
      </c>
      <c r="Q425" t="n">
        <v>0</v>
      </c>
      <c r="R425" s="2" t="inlineStr"/>
    </row>
    <row r="426" ht="15" customHeight="1">
      <c r="A426" t="inlineStr">
        <is>
          <t>A 37801-2024</t>
        </is>
      </c>
      <c r="B426" s="1" t="n">
        <v>45543</v>
      </c>
      <c r="C426" s="1" t="n">
        <v>45837</v>
      </c>
      <c r="D426" t="inlineStr">
        <is>
          <t>VÄSTRA GÖTALANDS LÄN</t>
        </is>
      </c>
      <c r="E426" t="inlineStr">
        <is>
          <t>TROLLHÄTTAN</t>
        </is>
      </c>
      <c r="G426" t="n">
        <v>2</v>
      </c>
      <c r="H426" t="n">
        <v>0</v>
      </c>
      <c r="I426" t="n">
        <v>0</v>
      </c>
      <c r="J426" t="n">
        <v>0</v>
      </c>
      <c r="K426" t="n">
        <v>0</v>
      </c>
      <c r="L426" t="n">
        <v>0</v>
      </c>
      <c r="M426" t="n">
        <v>0</v>
      </c>
      <c r="N426" t="n">
        <v>0</v>
      </c>
      <c r="O426" t="n">
        <v>0</v>
      </c>
      <c r="P426" t="n">
        <v>0</v>
      </c>
      <c r="Q426" t="n">
        <v>0</v>
      </c>
      <c r="R426" s="2" t="inlineStr"/>
    </row>
    <row r="427" ht="15" customHeight="1">
      <c r="A427" t="inlineStr">
        <is>
          <t>A 37800-2024</t>
        </is>
      </c>
      <c r="B427" s="1" t="n">
        <v>45543</v>
      </c>
      <c r="C427" s="1" t="n">
        <v>45837</v>
      </c>
      <c r="D427" t="inlineStr">
        <is>
          <t>VÄSTRA GÖTALANDS LÄN</t>
        </is>
      </c>
      <c r="E427" t="inlineStr">
        <is>
          <t>TROLLHÄTTAN</t>
        </is>
      </c>
      <c r="G427" t="n">
        <v>2.7</v>
      </c>
      <c r="H427" t="n">
        <v>0</v>
      </c>
      <c r="I427" t="n">
        <v>0</v>
      </c>
      <c r="J427" t="n">
        <v>0</v>
      </c>
      <c r="K427" t="n">
        <v>0</v>
      </c>
      <c r="L427" t="n">
        <v>0</v>
      </c>
      <c r="M427" t="n">
        <v>0</v>
      </c>
      <c r="N427" t="n">
        <v>0</v>
      </c>
      <c r="O427" t="n">
        <v>0</v>
      </c>
      <c r="P427" t="n">
        <v>0</v>
      </c>
      <c r="Q427" t="n">
        <v>0</v>
      </c>
      <c r="R427" s="2" t="inlineStr"/>
    </row>
    <row r="428" ht="15" customHeight="1">
      <c r="A428" t="inlineStr">
        <is>
          <t>A 37937-2024</t>
        </is>
      </c>
      <c r="B428" s="1" t="n">
        <v>45544</v>
      </c>
      <c r="C428" s="1" t="n">
        <v>45837</v>
      </c>
      <c r="D428" t="inlineStr">
        <is>
          <t>VÄSTRA GÖTALANDS LÄN</t>
        </is>
      </c>
      <c r="E428" t="inlineStr">
        <is>
          <t>TROLLHÄTTAN</t>
        </is>
      </c>
      <c r="G428" t="n">
        <v>5.1</v>
      </c>
      <c r="H428" t="n">
        <v>0</v>
      </c>
      <c r="I428" t="n">
        <v>0</v>
      </c>
      <c r="J428" t="n">
        <v>0</v>
      </c>
      <c r="K428" t="n">
        <v>0</v>
      </c>
      <c r="L428" t="n">
        <v>0</v>
      </c>
      <c r="M428" t="n">
        <v>0</v>
      </c>
      <c r="N428" t="n">
        <v>0</v>
      </c>
      <c r="O428" t="n">
        <v>0</v>
      </c>
      <c r="P428" t="n">
        <v>0</v>
      </c>
      <c r="Q428" t="n">
        <v>0</v>
      </c>
      <c r="R428" s="2" t="inlineStr"/>
    </row>
    <row r="429" ht="15" customHeight="1">
      <c r="A429" t="inlineStr">
        <is>
          <t>A 37970-2024</t>
        </is>
      </c>
      <c r="B429" s="1" t="n">
        <v>45544</v>
      </c>
      <c r="C429" s="1" t="n">
        <v>45837</v>
      </c>
      <c r="D429" t="inlineStr">
        <is>
          <t>VÄSTRA GÖTALANDS LÄN</t>
        </is>
      </c>
      <c r="E429" t="inlineStr">
        <is>
          <t>TROLLHÄTTAN</t>
        </is>
      </c>
      <c r="G429" t="n">
        <v>1</v>
      </c>
      <c r="H429" t="n">
        <v>0</v>
      </c>
      <c r="I429" t="n">
        <v>0</v>
      </c>
      <c r="J429" t="n">
        <v>0</v>
      </c>
      <c r="K429" t="n">
        <v>0</v>
      </c>
      <c r="L429" t="n">
        <v>0</v>
      </c>
      <c r="M429" t="n">
        <v>0</v>
      </c>
      <c r="N429" t="n">
        <v>0</v>
      </c>
      <c r="O429" t="n">
        <v>0</v>
      </c>
      <c r="P429" t="n">
        <v>0</v>
      </c>
      <c r="Q429" t="n">
        <v>0</v>
      </c>
      <c r="R429" s="2" t="inlineStr"/>
    </row>
    <row r="430" ht="15" customHeight="1">
      <c r="A430" t="inlineStr">
        <is>
          <t>A 39725-2024</t>
        </is>
      </c>
      <c r="B430" s="1" t="n">
        <v>45552</v>
      </c>
      <c r="C430" s="1" t="n">
        <v>45837</v>
      </c>
      <c r="D430" t="inlineStr">
        <is>
          <t>VÄSTRA GÖTALANDS LÄN</t>
        </is>
      </c>
      <c r="E430" t="inlineStr">
        <is>
          <t>TROLLHÄTTAN</t>
        </is>
      </c>
      <c r="G430" t="n">
        <v>4.3</v>
      </c>
      <c r="H430" t="n">
        <v>0</v>
      </c>
      <c r="I430" t="n">
        <v>0</v>
      </c>
      <c r="J430" t="n">
        <v>0</v>
      </c>
      <c r="K430" t="n">
        <v>0</v>
      </c>
      <c r="L430" t="n">
        <v>0</v>
      </c>
      <c r="M430" t="n">
        <v>0</v>
      </c>
      <c r="N430" t="n">
        <v>0</v>
      </c>
      <c r="O430" t="n">
        <v>0</v>
      </c>
      <c r="P430" t="n">
        <v>0</v>
      </c>
      <c r="Q430" t="n">
        <v>0</v>
      </c>
      <c r="R430" s="2" t="inlineStr"/>
    </row>
    <row r="431" ht="15" customHeight="1">
      <c r="A431" t="inlineStr">
        <is>
          <t>A 40058-2024</t>
        </is>
      </c>
      <c r="B431" s="1" t="n">
        <v>45553</v>
      </c>
      <c r="C431" s="1" t="n">
        <v>45837</v>
      </c>
      <c r="D431" t="inlineStr">
        <is>
          <t>VÄSTRA GÖTALANDS LÄN</t>
        </is>
      </c>
      <c r="E431" t="inlineStr">
        <is>
          <t>TROLLHÄTTAN</t>
        </is>
      </c>
      <c r="G431" t="n">
        <v>0.8</v>
      </c>
      <c r="H431" t="n">
        <v>0</v>
      </c>
      <c r="I431" t="n">
        <v>0</v>
      </c>
      <c r="J431" t="n">
        <v>0</v>
      </c>
      <c r="K431" t="n">
        <v>0</v>
      </c>
      <c r="L431" t="n">
        <v>0</v>
      </c>
      <c r="M431" t="n">
        <v>0</v>
      </c>
      <c r="N431" t="n">
        <v>0</v>
      </c>
      <c r="O431" t="n">
        <v>0</v>
      </c>
      <c r="P431" t="n">
        <v>0</v>
      </c>
      <c r="Q431" t="n">
        <v>0</v>
      </c>
      <c r="R431" s="2" t="inlineStr"/>
    </row>
    <row r="432" ht="15" customHeight="1">
      <c r="A432" t="inlineStr">
        <is>
          <t>A 41060-2024</t>
        </is>
      </c>
      <c r="B432" s="1" t="n">
        <v>45554</v>
      </c>
      <c r="C432" s="1" t="n">
        <v>45837</v>
      </c>
      <c r="D432" t="inlineStr">
        <is>
          <t>VÄSTRA GÖTALANDS LÄN</t>
        </is>
      </c>
      <c r="E432" t="inlineStr">
        <is>
          <t>TROLLHÄTTAN</t>
        </is>
      </c>
      <c r="G432" t="n">
        <v>1.2</v>
      </c>
      <c r="H432" t="n">
        <v>0</v>
      </c>
      <c r="I432" t="n">
        <v>0</v>
      </c>
      <c r="J432" t="n">
        <v>0</v>
      </c>
      <c r="K432" t="n">
        <v>0</v>
      </c>
      <c r="L432" t="n">
        <v>0</v>
      </c>
      <c r="M432" t="n">
        <v>0</v>
      </c>
      <c r="N432" t="n">
        <v>0</v>
      </c>
      <c r="O432" t="n">
        <v>0</v>
      </c>
      <c r="P432" t="n">
        <v>0</v>
      </c>
      <c r="Q432" t="n">
        <v>0</v>
      </c>
      <c r="R432" s="2" t="inlineStr"/>
    </row>
    <row r="433" ht="15" customHeight="1">
      <c r="A433" t="inlineStr">
        <is>
          <t>A 41554-2024</t>
        </is>
      </c>
      <c r="B433" s="1" t="n">
        <v>45560</v>
      </c>
      <c r="C433" s="1" t="n">
        <v>45837</v>
      </c>
      <c r="D433" t="inlineStr">
        <is>
          <t>VÄSTRA GÖTALANDS LÄN</t>
        </is>
      </c>
      <c r="E433" t="inlineStr">
        <is>
          <t>TROLLHÄTTAN</t>
        </is>
      </c>
      <c r="G433" t="n">
        <v>1.7</v>
      </c>
      <c r="H433" t="n">
        <v>0</v>
      </c>
      <c r="I433" t="n">
        <v>0</v>
      </c>
      <c r="J433" t="n">
        <v>0</v>
      </c>
      <c r="K433" t="n">
        <v>0</v>
      </c>
      <c r="L433" t="n">
        <v>0</v>
      </c>
      <c r="M433" t="n">
        <v>0</v>
      </c>
      <c r="N433" t="n">
        <v>0</v>
      </c>
      <c r="O433" t="n">
        <v>0</v>
      </c>
      <c r="P433" t="n">
        <v>0</v>
      </c>
      <c r="Q433" t="n">
        <v>0</v>
      </c>
      <c r="R433" s="2" t="inlineStr"/>
    </row>
    <row r="434" ht="15" customHeight="1">
      <c r="A434" t="inlineStr">
        <is>
          <t>A 42595-2024</t>
        </is>
      </c>
      <c r="B434" s="1" t="n">
        <v>45565</v>
      </c>
      <c r="C434" s="1" t="n">
        <v>45837</v>
      </c>
      <c r="D434" t="inlineStr">
        <is>
          <t>VÄSTRA GÖTALANDS LÄN</t>
        </is>
      </c>
      <c r="E434" t="inlineStr">
        <is>
          <t>TROLLHÄTTAN</t>
        </is>
      </c>
      <c r="G434" t="n">
        <v>10.2</v>
      </c>
      <c r="H434" t="n">
        <v>0</v>
      </c>
      <c r="I434" t="n">
        <v>0</v>
      </c>
      <c r="J434" t="n">
        <v>0</v>
      </c>
      <c r="K434" t="n">
        <v>0</v>
      </c>
      <c r="L434" t="n">
        <v>0</v>
      </c>
      <c r="M434" t="n">
        <v>0</v>
      </c>
      <c r="N434" t="n">
        <v>0</v>
      </c>
      <c r="O434" t="n">
        <v>0</v>
      </c>
      <c r="P434" t="n">
        <v>0</v>
      </c>
      <c r="Q434" t="n">
        <v>0</v>
      </c>
      <c r="R434" s="2" t="inlineStr"/>
    </row>
    <row r="435" ht="15" customHeight="1">
      <c r="A435" t="inlineStr">
        <is>
          <t>A 42456-2024</t>
        </is>
      </c>
      <c r="B435" s="1" t="n">
        <v>45565</v>
      </c>
      <c r="C435" s="1" t="n">
        <v>45837</v>
      </c>
      <c r="D435" t="inlineStr">
        <is>
          <t>VÄSTRA GÖTALANDS LÄN</t>
        </is>
      </c>
      <c r="E435" t="inlineStr">
        <is>
          <t>TROLLHÄTTAN</t>
        </is>
      </c>
      <c r="G435" t="n">
        <v>0.5</v>
      </c>
      <c r="H435" t="n">
        <v>0</v>
      </c>
      <c r="I435" t="n">
        <v>0</v>
      </c>
      <c r="J435" t="n">
        <v>0</v>
      </c>
      <c r="K435" t="n">
        <v>0</v>
      </c>
      <c r="L435" t="n">
        <v>0</v>
      </c>
      <c r="M435" t="n">
        <v>0</v>
      </c>
      <c r="N435" t="n">
        <v>0</v>
      </c>
      <c r="O435" t="n">
        <v>0</v>
      </c>
      <c r="P435" t="n">
        <v>0</v>
      </c>
      <c r="Q435" t="n">
        <v>0</v>
      </c>
      <c r="R435" s="2" t="inlineStr"/>
    </row>
    <row r="436" ht="15" customHeight="1">
      <c r="A436" t="inlineStr">
        <is>
          <t>A 42470-2024</t>
        </is>
      </c>
      <c r="B436" s="1" t="n">
        <v>45565</v>
      </c>
      <c r="C436" s="1" t="n">
        <v>45837</v>
      </c>
      <c r="D436" t="inlineStr">
        <is>
          <t>VÄSTRA GÖTALANDS LÄN</t>
        </is>
      </c>
      <c r="E436" t="inlineStr">
        <is>
          <t>TROLLHÄTTAN</t>
        </is>
      </c>
      <c r="G436" t="n">
        <v>3.1</v>
      </c>
      <c r="H436" t="n">
        <v>0</v>
      </c>
      <c r="I436" t="n">
        <v>0</v>
      </c>
      <c r="J436" t="n">
        <v>0</v>
      </c>
      <c r="K436" t="n">
        <v>0</v>
      </c>
      <c r="L436" t="n">
        <v>0</v>
      </c>
      <c r="M436" t="n">
        <v>0</v>
      </c>
      <c r="N436" t="n">
        <v>0</v>
      </c>
      <c r="O436" t="n">
        <v>0</v>
      </c>
      <c r="P436" t="n">
        <v>0</v>
      </c>
      <c r="Q436" t="n">
        <v>0</v>
      </c>
      <c r="R436" s="2" t="inlineStr"/>
    </row>
    <row r="437" ht="15" customHeight="1">
      <c r="A437" t="inlineStr">
        <is>
          <t>A 43604-2024</t>
        </is>
      </c>
      <c r="B437" s="1" t="n">
        <v>45569</v>
      </c>
      <c r="C437" s="1" t="n">
        <v>45837</v>
      </c>
      <c r="D437" t="inlineStr">
        <is>
          <t>VÄSTRA GÖTALANDS LÄN</t>
        </is>
      </c>
      <c r="E437" t="inlineStr">
        <is>
          <t>TROLLHÄTTAN</t>
        </is>
      </c>
      <c r="G437" t="n">
        <v>3</v>
      </c>
      <c r="H437" t="n">
        <v>0</v>
      </c>
      <c r="I437" t="n">
        <v>0</v>
      </c>
      <c r="J437" t="n">
        <v>0</v>
      </c>
      <c r="K437" t="n">
        <v>0</v>
      </c>
      <c r="L437" t="n">
        <v>0</v>
      </c>
      <c r="M437" t="n">
        <v>0</v>
      </c>
      <c r="N437" t="n">
        <v>0</v>
      </c>
      <c r="O437" t="n">
        <v>0</v>
      </c>
      <c r="P437" t="n">
        <v>0</v>
      </c>
      <c r="Q437" t="n">
        <v>0</v>
      </c>
      <c r="R437" s="2" t="inlineStr"/>
    </row>
    <row r="438" ht="15" customHeight="1">
      <c r="A438" t="inlineStr">
        <is>
          <t>A 45983-2024</t>
        </is>
      </c>
      <c r="B438" s="1" t="n">
        <v>45580</v>
      </c>
      <c r="C438" s="1" t="n">
        <v>45837</v>
      </c>
      <c r="D438" t="inlineStr">
        <is>
          <t>VÄSTRA GÖTALANDS LÄN</t>
        </is>
      </c>
      <c r="E438" t="inlineStr">
        <is>
          <t>TROLLHÄTTAN</t>
        </is>
      </c>
      <c r="G438" t="n">
        <v>2.8</v>
      </c>
      <c r="H438" t="n">
        <v>0</v>
      </c>
      <c r="I438" t="n">
        <v>0</v>
      </c>
      <c r="J438" t="n">
        <v>0</v>
      </c>
      <c r="K438" t="n">
        <v>0</v>
      </c>
      <c r="L438" t="n">
        <v>0</v>
      </c>
      <c r="M438" t="n">
        <v>0</v>
      </c>
      <c r="N438" t="n">
        <v>0</v>
      </c>
      <c r="O438" t="n">
        <v>0</v>
      </c>
      <c r="P438" t="n">
        <v>0</v>
      </c>
      <c r="Q438" t="n">
        <v>0</v>
      </c>
      <c r="R438" s="2" t="inlineStr"/>
    </row>
    <row r="439" ht="15" customHeight="1">
      <c r="A439" t="inlineStr">
        <is>
          <t>A 46529-2024</t>
        </is>
      </c>
      <c r="B439" s="1" t="n">
        <v>45582</v>
      </c>
      <c r="C439" s="1" t="n">
        <v>45837</v>
      </c>
      <c r="D439" t="inlineStr">
        <is>
          <t>VÄSTRA GÖTALANDS LÄN</t>
        </is>
      </c>
      <c r="E439" t="inlineStr">
        <is>
          <t>TROLLHÄTTAN</t>
        </is>
      </c>
      <c r="G439" t="n">
        <v>11.7</v>
      </c>
      <c r="H439" t="n">
        <v>0</v>
      </c>
      <c r="I439" t="n">
        <v>0</v>
      </c>
      <c r="J439" t="n">
        <v>0</v>
      </c>
      <c r="K439" t="n">
        <v>0</v>
      </c>
      <c r="L439" t="n">
        <v>0</v>
      </c>
      <c r="M439" t="n">
        <v>0</v>
      </c>
      <c r="N439" t="n">
        <v>0</v>
      </c>
      <c r="O439" t="n">
        <v>0</v>
      </c>
      <c r="P439" t="n">
        <v>0</v>
      </c>
      <c r="Q439" t="n">
        <v>0</v>
      </c>
      <c r="R439" s="2" t="inlineStr"/>
    </row>
    <row r="440" ht="15" customHeight="1">
      <c r="A440" t="inlineStr">
        <is>
          <t>A 46533-2024</t>
        </is>
      </c>
      <c r="B440" s="1" t="n">
        <v>45582</v>
      </c>
      <c r="C440" s="1" t="n">
        <v>45837</v>
      </c>
      <c r="D440" t="inlineStr">
        <is>
          <t>VÄSTRA GÖTALANDS LÄN</t>
        </is>
      </c>
      <c r="E440" t="inlineStr">
        <is>
          <t>TROLLHÄTTAN</t>
        </is>
      </c>
      <c r="G440" t="n">
        <v>1.8</v>
      </c>
      <c r="H440" t="n">
        <v>0</v>
      </c>
      <c r="I440" t="n">
        <v>0</v>
      </c>
      <c r="J440" t="n">
        <v>0</v>
      </c>
      <c r="K440" t="n">
        <v>0</v>
      </c>
      <c r="L440" t="n">
        <v>0</v>
      </c>
      <c r="M440" t="n">
        <v>0</v>
      </c>
      <c r="N440" t="n">
        <v>0</v>
      </c>
      <c r="O440" t="n">
        <v>0</v>
      </c>
      <c r="P440" t="n">
        <v>0</v>
      </c>
      <c r="Q440" t="n">
        <v>0</v>
      </c>
      <c r="R440" s="2" t="inlineStr"/>
    </row>
    <row r="441" ht="15" customHeight="1">
      <c r="A441" t="inlineStr">
        <is>
          <t>A 46364-2024</t>
        </is>
      </c>
      <c r="B441" s="1" t="n">
        <v>45582</v>
      </c>
      <c r="C441" s="1" t="n">
        <v>45837</v>
      </c>
      <c r="D441" t="inlineStr">
        <is>
          <t>VÄSTRA GÖTALANDS LÄN</t>
        </is>
      </c>
      <c r="E441" t="inlineStr">
        <is>
          <t>TROLLHÄTTAN</t>
        </is>
      </c>
      <c r="G441" t="n">
        <v>1.4</v>
      </c>
      <c r="H441" t="n">
        <v>0</v>
      </c>
      <c r="I441" t="n">
        <v>0</v>
      </c>
      <c r="J441" t="n">
        <v>0</v>
      </c>
      <c r="K441" t="n">
        <v>0</v>
      </c>
      <c r="L441" t="n">
        <v>0</v>
      </c>
      <c r="M441" t="n">
        <v>0</v>
      </c>
      <c r="N441" t="n">
        <v>0</v>
      </c>
      <c r="O441" t="n">
        <v>0</v>
      </c>
      <c r="P441" t="n">
        <v>0</v>
      </c>
      <c r="Q441" t="n">
        <v>0</v>
      </c>
      <c r="R441" s="2" t="inlineStr"/>
    </row>
    <row r="442" ht="15" customHeight="1">
      <c r="A442" t="inlineStr">
        <is>
          <t>A 46747-2024</t>
        </is>
      </c>
      <c r="B442" s="1" t="n">
        <v>45583</v>
      </c>
      <c r="C442" s="1" t="n">
        <v>45837</v>
      </c>
      <c r="D442" t="inlineStr">
        <is>
          <t>VÄSTRA GÖTALANDS LÄN</t>
        </is>
      </c>
      <c r="E442" t="inlineStr">
        <is>
          <t>TROLLHÄTTAN</t>
        </is>
      </c>
      <c r="G442" t="n">
        <v>3.6</v>
      </c>
      <c r="H442" t="n">
        <v>0</v>
      </c>
      <c r="I442" t="n">
        <v>0</v>
      </c>
      <c r="J442" t="n">
        <v>0</v>
      </c>
      <c r="K442" t="n">
        <v>0</v>
      </c>
      <c r="L442" t="n">
        <v>0</v>
      </c>
      <c r="M442" t="n">
        <v>0</v>
      </c>
      <c r="N442" t="n">
        <v>0</v>
      </c>
      <c r="O442" t="n">
        <v>0</v>
      </c>
      <c r="P442" t="n">
        <v>0</v>
      </c>
      <c r="Q442" t="n">
        <v>0</v>
      </c>
      <c r="R442" s="2" t="inlineStr"/>
    </row>
    <row r="443" ht="15" customHeight="1">
      <c r="A443" t="inlineStr">
        <is>
          <t>A 47902-2024</t>
        </is>
      </c>
      <c r="B443" s="1" t="n">
        <v>45589</v>
      </c>
      <c r="C443" s="1" t="n">
        <v>45837</v>
      </c>
      <c r="D443" t="inlineStr">
        <is>
          <t>VÄSTRA GÖTALANDS LÄN</t>
        </is>
      </c>
      <c r="E443" t="inlineStr">
        <is>
          <t>TROLLHÄTTAN</t>
        </is>
      </c>
      <c r="G443" t="n">
        <v>1.8</v>
      </c>
      <c r="H443" t="n">
        <v>0</v>
      </c>
      <c r="I443" t="n">
        <v>0</v>
      </c>
      <c r="J443" t="n">
        <v>0</v>
      </c>
      <c r="K443" t="n">
        <v>0</v>
      </c>
      <c r="L443" t="n">
        <v>0</v>
      </c>
      <c r="M443" t="n">
        <v>0</v>
      </c>
      <c r="N443" t="n">
        <v>0</v>
      </c>
      <c r="O443" t="n">
        <v>0</v>
      </c>
      <c r="P443" t="n">
        <v>0</v>
      </c>
      <c r="Q443" t="n">
        <v>0</v>
      </c>
      <c r="R443" s="2" t="inlineStr"/>
    </row>
    <row r="444" ht="15" customHeight="1">
      <c r="A444" t="inlineStr">
        <is>
          <t>A 48350-2024</t>
        </is>
      </c>
      <c r="B444" s="1" t="n">
        <v>45590</v>
      </c>
      <c r="C444" s="1" t="n">
        <v>45837</v>
      </c>
      <c r="D444" t="inlineStr">
        <is>
          <t>VÄSTRA GÖTALANDS LÄN</t>
        </is>
      </c>
      <c r="E444" t="inlineStr">
        <is>
          <t>TROLLHÄTTAN</t>
        </is>
      </c>
      <c r="G444" t="n">
        <v>3.4</v>
      </c>
      <c r="H444" t="n">
        <v>0</v>
      </c>
      <c r="I444" t="n">
        <v>0</v>
      </c>
      <c r="J444" t="n">
        <v>0</v>
      </c>
      <c r="K444" t="n">
        <v>0</v>
      </c>
      <c r="L444" t="n">
        <v>0</v>
      </c>
      <c r="M444" t="n">
        <v>0</v>
      </c>
      <c r="N444" t="n">
        <v>0</v>
      </c>
      <c r="O444" t="n">
        <v>0</v>
      </c>
      <c r="P444" t="n">
        <v>0</v>
      </c>
      <c r="Q444" t="n">
        <v>0</v>
      </c>
      <c r="R444" s="2" t="inlineStr"/>
    </row>
    <row r="445" ht="15" customHeight="1">
      <c r="A445" t="inlineStr">
        <is>
          <t>A 49062-2024</t>
        </is>
      </c>
      <c r="B445" s="1" t="n">
        <v>45594</v>
      </c>
      <c r="C445" s="1" t="n">
        <v>45837</v>
      </c>
      <c r="D445" t="inlineStr">
        <is>
          <t>VÄSTRA GÖTALANDS LÄN</t>
        </is>
      </c>
      <c r="E445" t="inlineStr">
        <is>
          <t>TROLLHÄTTAN</t>
        </is>
      </c>
      <c r="G445" t="n">
        <v>1.6</v>
      </c>
      <c r="H445" t="n">
        <v>0</v>
      </c>
      <c r="I445" t="n">
        <v>0</v>
      </c>
      <c r="J445" t="n">
        <v>0</v>
      </c>
      <c r="K445" t="n">
        <v>0</v>
      </c>
      <c r="L445" t="n">
        <v>0</v>
      </c>
      <c r="M445" t="n">
        <v>0</v>
      </c>
      <c r="N445" t="n">
        <v>0</v>
      </c>
      <c r="O445" t="n">
        <v>0</v>
      </c>
      <c r="P445" t="n">
        <v>0</v>
      </c>
      <c r="Q445" t="n">
        <v>0</v>
      </c>
      <c r="R445" s="2" t="inlineStr"/>
    </row>
    <row r="446" ht="15" customHeight="1">
      <c r="A446" t="inlineStr">
        <is>
          <t>A 49781-2024</t>
        </is>
      </c>
      <c r="B446" s="1" t="n">
        <v>45597</v>
      </c>
      <c r="C446" s="1" t="n">
        <v>45837</v>
      </c>
      <c r="D446" t="inlineStr">
        <is>
          <t>VÄSTRA GÖTALANDS LÄN</t>
        </is>
      </c>
      <c r="E446" t="inlineStr">
        <is>
          <t>TROLLHÄTTAN</t>
        </is>
      </c>
      <c r="G446" t="n">
        <v>5.7</v>
      </c>
      <c r="H446" t="n">
        <v>0</v>
      </c>
      <c r="I446" t="n">
        <v>0</v>
      </c>
      <c r="J446" t="n">
        <v>0</v>
      </c>
      <c r="K446" t="n">
        <v>0</v>
      </c>
      <c r="L446" t="n">
        <v>0</v>
      </c>
      <c r="M446" t="n">
        <v>0</v>
      </c>
      <c r="N446" t="n">
        <v>0</v>
      </c>
      <c r="O446" t="n">
        <v>0</v>
      </c>
      <c r="P446" t="n">
        <v>0</v>
      </c>
      <c r="Q446" t="n">
        <v>0</v>
      </c>
      <c r="R446" s="2" t="inlineStr"/>
    </row>
    <row r="447" ht="15" customHeight="1">
      <c r="A447" t="inlineStr">
        <is>
          <t>A 51605-2024</t>
        </is>
      </c>
      <c r="B447" s="1" t="n">
        <v>45604</v>
      </c>
      <c r="C447" s="1" t="n">
        <v>45837</v>
      </c>
      <c r="D447" t="inlineStr">
        <is>
          <t>VÄSTRA GÖTALANDS LÄN</t>
        </is>
      </c>
      <c r="E447" t="inlineStr">
        <is>
          <t>TROLLHÄTTAN</t>
        </is>
      </c>
      <c r="G447" t="n">
        <v>1</v>
      </c>
      <c r="H447" t="n">
        <v>0</v>
      </c>
      <c r="I447" t="n">
        <v>0</v>
      </c>
      <c r="J447" t="n">
        <v>0</v>
      </c>
      <c r="K447" t="n">
        <v>0</v>
      </c>
      <c r="L447" t="n">
        <v>0</v>
      </c>
      <c r="M447" t="n">
        <v>0</v>
      </c>
      <c r="N447" t="n">
        <v>0</v>
      </c>
      <c r="O447" t="n">
        <v>0</v>
      </c>
      <c r="P447" t="n">
        <v>0</v>
      </c>
      <c r="Q447" t="n">
        <v>0</v>
      </c>
      <c r="R447" s="2" t="inlineStr"/>
    </row>
    <row r="448" ht="15" customHeight="1">
      <c r="A448" t="inlineStr">
        <is>
          <t>A 51381-2024</t>
        </is>
      </c>
      <c r="B448" s="1" t="n">
        <v>45604</v>
      </c>
      <c r="C448" s="1" t="n">
        <v>45837</v>
      </c>
      <c r="D448" t="inlineStr">
        <is>
          <t>VÄSTRA GÖTALANDS LÄN</t>
        </is>
      </c>
      <c r="E448" t="inlineStr">
        <is>
          <t>TROLLHÄTTAN</t>
        </is>
      </c>
      <c r="G448" t="n">
        <v>3.7</v>
      </c>
      <c r="H448" t="n">
        <v>0</v>
      </c>
      <c r="I448" t="n">
        <v>0</v>
      </c>
      <c r="J448" t="n">
        <v>0</v>
      </c>
      <c r="K448" t="n">
        <v>0</v>
      </c>
      <c r="L448" t="n">
        <v>0</v>
      </c>
      <c r="M448" t="n">
        <v>0</v>
      </c>
      <c r="N448" t="n">
        <v>0</v>
      </c>
      <c r="O448" t="n">
        <v>0</v>
      </c>
      <c r="P448" t="n">
        <v>0</v>
      </c>
      <c r="Q448" t="n">
        <v>0</v>
      </c>
      <c r="R448" s="2" t="inlineStr"/>
    </row>
    <row r="449" ht="15" customHeight="1">
      <c r="A449" t="inlineStr">
        <is>
          <t>A 52143-2024</t>
        </is>
      </c>
      <c r="B449" s="1" t="n">
        <v>45608</v>
      </c>
      <c r="C449" s="1" t="n">
        <v>45837</v>
      </c>
      <c r="D449" t="inlineStr">
        <is>
          <t>VÄSTRA GÖTALANDS LÄN</t>
        </is>
      </c>
      <c r="E449" t="inlineStr">
        <is>
          <t>TROLLHÄTTAN</t>
        </is>
      </c>
      <c r="G449" t="n">
        <v>6</v>
      </c>
      <c r="H449" t="n">
        <v>0</v>
      </c>
      <c r="I449" t="n">
        <v>0</v>
      </c>
      <c r="J449" t="n">
        <v>0</v>
      </c>
      <c r="K449" t="n">
        <v>0</v>
      </c>
      <c r="L449" t="n">
        <v>0</v>
      </c>
      <c r="M449" t="n">
        <v>0</v>
      </c>
      <c r="N449" t="n">
        <v>0</v>
      </c>
      <c r="O449" t="n">
        <v>0</v>
      </c>
      <c r="P449" t="n">
        <v>0</v>
      </c>
      <c r="Q449" t="n">
        <v>0</v>
      </c>
      <c r="R449" s="2" t="inlineStr"/>
    </row>
    <row r="450" ht="15" customHeight="1">
      <c r="A450" t="inlineStr">
        <is>
          <t>A 52688-2024</t>
        </is>
      </c>
      <c r="B450" s="1" t="n">
        <v>45610</v>
      </c>
      <c r="C450" s="1" t="n">
        <v>45837</v>
      </c>
      <c r="D450" t="inlineStr">
        <is>
          <t>VÄSTRA GÖTALANDS LÄN</t>
        </is>
      </c>
      <c r="E450" t="inlineStr">
        <is>
          <t>TROLLHÄTTAN</t>
        </is>
      </c>
      <c r="G450" t="n">
        <v>1.4</v>
      </c>
      <c r="H450" t="n">
        <v>0</v>
      </c>
      <c r="I450" t="n">
        <v>0</v>
      </c>
      <c r="J450" t="n">
        <v>0</v>
      </c>
      <c r="K450" t="n">
        <v>0</v>
      </c>
      <c r="L450" t="n">
        <v>0</v>
      </c>
      <c r="M450" t="n">
        <v>0</v>
      </c>
      <c r="N450" t="n">
        <v>0</v>
      </c>
      <c r="O450" t="n">
        <v>0</v>
      </c>
      <c r="P450" t="n">
        <v>0</v>
      </c>
      <c r="Q450" t="n">
        <v>0</v>
      </c>
      <c r="R450" s="2" t="inlineStr"/>
    </row>
    <row r="451" ht="15" customHeight="1">
      <c r="A451" t="inlineStr">
        <is>
          <t>A 53511-2024</t>
        </is>
      </c>
      <c r="B451" s="1" t="n">
        <v>45614</v>
      </c>
      <c r="C451" s="1" t="n">
        <v>45837</v>
      </c>
      <c r="D451" t="inlineStr">
        <is>
          <t>VÄSTRA GÖTALANDS LÄN</t>
        </is>
      </c>
      <c r="E451" t="inlineStr">
        <is>
          <t>TROLLHÄTTAN</t>
        </is>
      </c>
      <c r="G451" t="n">
        <v>1.5</v>
      </c>
      <c r="H451" t="n">
        <v>0</v>
      </c>
      <c r="I451" t="n">
        <v>0</v>
      </c>
      <c r="J451" t="n">
        <v>0</v>
      </c>
      <c r="K451" t="n">
        <v>0</v>
      </c>
      <c r="L451" t="n">
        <v>0</v>
      </c>
      <c r="M451" t="n">
        <v>0</v>
      </c>
      <c r="N451" t="n">
        <v>0</v>
      </c>
      <c r="O451" t="n">
        <v>0</v>
      </c>
      <c r="P451" t="n">
        <v>0</v>
      </c>
      <c r="Q451" t="n">
        <v>0</v>
      </c>
      <c r="R451" s="2" t="inlineStr"/>
    </row>
    <row r="452" ht="15" customHeight="1">
      <c r="A452" t="inlineStr">
        <is>
          <t>A 54083-2024</t>
        </is>
      </c>
      <c r="B452" s="1" t="n">
        <v>45616</v>
      </c>
      <c r="C452" s="1" t="n">
        <v>45837</v>
      </c>
      <c r="D452" t="inlineStr">
        <is>
          <t>VÄSTRA GÖTALANDS LÄN</t>
        </is>
      </c>
      <c r="E452" t="inlineStr">
        <is>
          <t>TROLLHÄTTAN</t>
        </is>
      </c>
      <c r="G452" t="n">
        <v>2.7</v>
      </c>
      <c r="H452" t="n">
        <v>0</v>
      </c>
      <c r="I452" t="n">
        <v>0</v>
      </c>
      <c r="J452" t="n">
        <v>0</v>
      </c>
      <c r="K452" t="n">
        <v>0</v>
      </c>
      <c r="L452" t="n">
        <v>0</v>
      </c>
      <c r="M452" t="n">
        <v>0</v>
      </c>
      <c r="N452" t="n">
        <v>0</v>
      </c>
      <c r="O452" t="n">
        <v>0</v>
      </c>
      <c r="P452" t="n">
        <v>0</v>
      </c>
      <c r="Q452" t="n">
        <v>0</v>
      </c>
      <c r="R452" s="2" t="inlineStr"/>
    </row>
    <row r="453" ht="15" customHeight="1">
      <c r="A453" t="inlineStr">
        <is>
          <t>A 53942-2024</t>
        </is>
      </c>
      <c r="B453" s="1" t="n">
        <v>45616</v>
      </c>
      <c r="C453" s="1" t="n">
        <v>45837</v>
      </c>
      <c r="D453" t="inlineStr">
        <is>
          <t>VÄSTRA GÖTALANDS LÄN</t>
        </is>
      </c>
      <c r="E453" t="inlineStr">
        <is>
          <t>TROLLHÄTTAN</t>
        </is>
      </c>
      <c r="G453" t="n">
        <v>4.9</v>
      </c>
      <c r="H453" t="n">
        <v>0</v>
      </c>
      <c r="I453" t="n">
        <v>0</v>
      </c>
      <c r="J453" t="n">
        <v>0</v>
      </c>
      <c r="K453" t="n">
        <v>0</v>
      </c>
      <c r="L453" t="n">
        <v>0</v>
      </c>
      <c r="M453" t="n">
        <v>0</v>
      </c>
      <c r="N453" t="n">
        <v>0</v>
      </c>
      <c r="O453" t="n">
        <v>0</v>
      </c>
      <c r="P453" t="n">
        <v>0</v>
      </c>
      <c r="Q453" t="n">
        <v>0</v>
      </c>
      <c r="R453" s="2" t="inlineStr"/>
    </row>
    <row r="454" ht="15" customHeight="1">
      <c r="A454" t="inlineStr">
        <is>
          <t>A 57233-2024</t>
        </is>
      </c>
      <c r="B454" s="1" t="n">
        <v>45629</v>
      </c>
      <c r="C454" s="1" t="n">
        <v>45837</v>
      </c>
      <c r="D454" t="inlineStr">
        <is>
          <t>VÄSTRA GÖTALANDS LÄN</t>
        </is>
      </c>
      <c r="E454" t="inlineStr">
        <is>
          <t>TROLLHÄTTAN</t>
        </is>
      </c>
      <c r="G454" t="n">
        <v>2.6</v>
      </c>
      <c r="H454" t="n">
        <v>0</v>
      </c>
      <c r="I454" t="n">
        <v>0</v>
      </c>
      <c r="J454" t="n">
        <v>0</v>
      </c>
      <c r="K454" t="n">
        <v>0</v>
      </c>
      <c r="L454" t="n">
        <v>0</v>
      </c>
      <c r="M454" t="n">
        <v>0</v>
      </c>
      <c r="N454" t="n">
        <v>0</v>
      </c>
      <c r="O454" t="n">
        <v>0</v>
      </c>
      <c r="P454" t="n">
        <v>0</v>
      </c>
      <c r="Q454" t="n">
        <v>0</v>
      </c>
      <c r="R454" s="2" t="inlineStr"/>
    </row>
    <row r="455" ht="15" customHeight="1">
      <c r="A455" t="inlineStr">
        <is>
          <t>A 57956-2024</t>
        </is>
      </c>
      <c r="B455" s="1" t="n">
        <v>45631</v>
      </c>
      <c r="C455" s="1" t="n">
        <v>45837</v>
      </c>
      <c r="D455" t="inlineStr">
        <is>
          <t>VÄSTRA GÖTALANDS LÄN</t>
        </is>
      </c>
      <c r="E455" t="inlineStr">
        <is>
          <t>TROLLHÄTTAN</t>
        </is>
      </c>
      <c r="G455" t="n">
        <v>3</v>
      </c>
      <c r="H455" t="n">
        <v>0</v>
      </c>
      <c r="I455" t="n">
        <v>0</v>
      </c>
      <c r="J455" t="n">
        <v>0</v>
      </c>
      <c r="K455" t="n">
        <v>0</v>
      </c>
      <c r="L455" t="n">
        <v>0</v>
      </c>
      <c r="M455" t="n">
        <v>0</v>
      </c>
      <c r="N455" t="n">
        <v>0</v>
      </c>
      <c r="O455" t="n">
        <v>0</v>
      </c>
      <c r="P455" t="n">
        <v>0</v>
      </c>
      <c r="Q455" t="n">
        <v>0</v>
      </c>
      <c r="R455" s="2" t="inlineStr"/>
    </row>
    <row r="456" ht="15" customHeight="1">
      <c r="A456" t="inlineStr">
        <is>
          <t>A 57960-2024</t>
        </is>
      </c>
      <c r="B456" s="1" t="n">
        <v>45631</v>
      </c>
      <c r="C456" s="1" t="n">
        <v>45837</v>
      </c>
      <c r="D456" t="inlineStr">
        <is>
          <t>VÄSTRA GÖTALANDS LÄN</t>
        </is>
      </c>
      <c r="E456" t="inlineStr">
        <is>
          <t>TROLLHÄTTAN</t>
        </is>
      </c>
      <c r="G456" t="n">
        <v>5</v>
      </c>
      <c r="H456" t="n">
        <v>0</v>
      </c>
      <c r="I456" t="n">
        <v>0</v>
      </c>
      <c r="J456" t="n">
        <v>0</v>
      </c>
      <c r="K456" t="n">
        <v>0</v>
      </c>
      <c r="L456" t="n">
        <v>0</v>
      </c>
      <c r="M456" t="n">
        <v>0</v>
      </c>
      <c r="N456" t="n">
        <v>0</v>
      </c>
      <c r="O456" t="n">
        <v>0</v>
      </c>
      <c r="P456" t="n">
        <v>0</v>
      </c>
      <c r="Q456" t="n">
        <v>0</v>
      </c>
      <c r="R456" s="2" t="inlineStr"/>
    </row>
    <row r="457" ht="15" customHeight="1">
      <c r="A457" t="inlineStr">
        <is>
          <t>A 59879-2024</t>
        </is>
      </c>
      <c r="B457" s="1" t="n">
        <v>45640</v>
      </c>
      <c r="C457" s="1" t="n">
        <v>45837</v>
      </c>
      <c r="D457" t="inlineStr">
        <is>
          <t>VÄSTRA GÖTALANDS LÄN</t>
        </is>
      </c>
      <c r="E457" t="inlineStr">
        <is>
          <t>TROLLHÄTTAN</t>
        </is>
      </c>
      <c r="G457" t="n">
        <v>0.8</v>
      </c>
      <c r="H457" t="n">
        <v>0</v>
      </c>
      <c r="I457" t="n">
        <v>0</v>
      </c>
      <c r="J457" t="n">
        <v>0</v>
      </c>
      <c r="K457" t="n">
        <v>0</v>
      </c>
      <c r="L457" t="n">
        <v>0</v>
      </c>
      <c r="M457" t="n">
        <v>0</v>
      </c>
      <c r="N457" t="n">
        <v>0</v>
      </c>
      <c r="O457" t="n">
        <v>0</v>
      </c>
      <c r="P457" t="n">
        <v>0</v>
      </c>
      <c r="Q457" t="n">
        <v>0</v>
      </c>
      <c r="R457" s="2" t="inlineStr"/>
    </row>
    <row r="458" ht="15" customHeight="1">
      <c r="A458" t="inlineStr">
        <is>
          <t>A 59883-2024</t>
        </is>
      </c>
      <c r="B458" s="1" t="n">
        <v>45641</v>
      </c>
      <c r="C458" s="1" t="n">
        <v>45837</v>
      </c>
      <c r="D458" t="inlineStr">
        <is>
          <t>VÄSTRA GÖTALANDS LÄN</t>
        </is>
      </c>
      <c r="E458" t="inlineStr">
        <is>
          <t>TROLLHÄTTAN</t>
        </is>
      </c>
      <c r="G458" t="n">
        <v>1.4</v>
      </c>
      <c r="H458" t="n">
        <v>0</v>
      </c>
      <c r="I458" t="n">
        <v>0</v>
      </c>
      <c r="J458" t="n">
        <v>0</v>
      </c>
      <c r="K458" t="n">
        <v>0</v>
      </c>
      <c r="L458" t="n">
        <v>0</v>
      </c>
      <c r="M458" t="n">
        <v>0</v>
      </c>
      <c r="N458" t="n">
        <v>0</v>
      </c>
      <c r="O458" t="n">
        <v>0</v>
      </c>
      <c r="P458" t="n">
        <v>0</v>
      </c>
      <c r="Q458" t="n">
        <v>0</v>
      </c>
      <c r="R458" s="2" t="inlineStr"/>
    </row>
    <row r="459" ht="15" customHeight="1">
      <c r="A459" t="inlineStr">
        <is>
          <t>A 60498-2024</t>
        </is>
      </c>
      <c r="B459" s="1" t="n">
        <v>45643</v>
      </c>
      <c r="C459" s="1" t="n">
        <v>45837</v>
      </c>
      <c r="D459" t="inlineStr">
        <is>
          <t>VÄSTRA GÖTALANDS LÄN</t>
        </is>
      </c>
      <c r="E459" t="inlineStr">
        <is>
          <t>TROLLHÄTTAN</t>
        </is>
      </c>
      <c r="G459" t="n">
        <v>1.1</v>
      </c>
      <c r="H459" t="n">
        <v>0</v>
      </c>
      <c r="I459" t="n">
        <v>0</v>
      </c>
      <c r="J459" t="n">
        <v>0</v>
      </c>
      <c r="K459" t="n">
        <v>0</v>
      </c>
      <c r="L459" t="n">
        <v>0</v>
      </c>
      <c r="M459" t="n">
        <v>0</v>
      </c>
      <c r="N459" t="n">
        <v>0</v>
      </c>
      <c r="O459" t="n">
        <v>0</v>
      </c>
      <c r="P459" t="n">
        <v>0</v>
      </c>
      <c r="Q459" t="n">
        <v>0</v>
      </c>
      <c r="R459" s="2" t="inlineStr"/>
    </row>
    <row r="460" ht="15" customHeight="1">
      <c r="A460" t="inlineStr">
        <is>
          <t>A 60978-2024</t>
        </is>
      </c>
      <c r="B460" s="1" t="n">
        <v>45645</v>
      </c>
      <c r="C460" s="1" t="n">
        <v>45837</v>
      </c>
      <c r="D460" t="inlineStr">
        <is>
          <t>VÄSTRA GÖTALANDS LÄN</t>
        </is>
      </c>
      <c r="E460" t="inlineStr">
        <is>
          <t>TROLLHÄTTAN</t>
        </is>
      </c>
      <c r="G460" t="n">
        <v>1.7</v>
      </c>
      <c r="H460" t="n">
        <v>0</v>
      </c>
      <c r="I460" t="n">
        <v>0</v>
      </c>
      <c r="J460" t="n">
        <v>0</v>
      </c>
      <c r="K460" t="n">
        <v>0</v>
      </c>
      <c r="L460" t="n">
        <v>0</v>
      </c>
      <c r="M460" t="n">
        <v>0</v>
      </c>
      <c r="N460" t="n">
        <v>0</v>
      </c>
      <c r="O460" t="n">
        <v>0</v>
      </c>
      <c r="P460" t="n">
        <v>0</v>
      </c>
      <c r="Q460" t="n">
        <v>0</v>
      </c>
      <c r="R460" s="2" t="inlineStr"/>
    </row>
    <row r="461" ht="15" customHeight="1">
      <c r="A461" t="inlineStr">
        <is>
          <t>A 61046-2024</t>
        </is>
      </c>
      <c r="B461" s="1" t="n">
        <v>45645</v>
      </c>
      <c r="C461" s="1" t="n">
        <v>45837</v>
      </c>
      <c r="D461" t="inlineStr">
        <is>
          <t>VÄSTRA GÖTALANDS LÄN</t>
        </is>
      </c>
      <c r="E461" t="inlineStr">
        <is>
          <t>TROLLHÄTTAN</t>
        </is>
      </c>
      <c r="G461" t="n">
        <v>2.3</v>
      </c>
      <c r="H461" t="n">
        <v>0</v>
      </c>
      <c r="I461" t="n">
        <v>0</v>
      </c>
      <c r="J461" t="n">
        <v>0</v>
      </c>
      <c r="K461" t="n">
        <v>0</v>
      </c>
      <c r="L461" t="n">
        <v>0</v>
      </c>
      <c r="M461" t="n">
        <v>0</v>
      </c>
      <c r="N461" t="n">
        <v>0</v>
      </c>
      <c r="O461" t="n">
        <v>0</v>
      </c>
      <c r="P461" t="n">
        <v>0</v>
      </c>
      <c r="Q461" t="n">
        <v>0</v>
      </c>
      <c r="R461" s="2" t="inlineStr"/>
    </row>
    <row r="462" ht="15" customHeight="1">
      <c r="A462" t="inlineStr">
        <is>
          <t>A 61799-2024</t>
        </is>
      </c>
      <c r="B462" s="1" t="n">
        <v>45646</v>
      </c>
      <c r="C462" s="1" t="n">
        <v>45837</v>
      </c>
      <c r="D462" t="inlineStr">
        <is>
          <t>VÄSTRA GÖTALANDS LÄN</t>
        </is>
      </c>
      <c r="E462" t="inlineStr">
        <is>
          <t>TROLLHÄTTAN</t>
        </is>
      </c>
      <c r="G462" t="n">
        <v>0.9</v>
      </c>
      <c r="H462" t="n">
        <v>0</v>
      </c>
      <c r="I462" t="n">
        <v>0</v>
      </c>
      <c r="J462" t="n">
        <v>0</v>
      </c>
      <c r="K462" t="n">
        <v>0</v>
      </c>
      <c r="L462" t="n">
        <v>0</v>
      </c>
      <c r="M462" t="n">
        <v>0</v>
      </c>
      <c r="N462" t="n">
        <v>0</v>
      </c>
      <c r="O462" t="n">
        <v>0</v>
      </c>
      <c r="P462" t="n">
        <v>0</v>
      </c>
      <c r="Q462" t="n">
        <v>0</v>
      </c>
      <c r="R462" s="2" t="inlineStr"/>
    </row>
    <row r="463" ht="15" customHeight="1">
      <c r="A463" t="inlineStr">
        <is>
          <t>A 61805-2024</t>
        </is>
      </c>
      <c r="B463" s="1" t="n">
        <v>45646</v>
      </c>
      <c r="C463" s="1" t="n">
        <v>45837</v>
      </c>
      <c r="D463" t="inlineStr">
        <is>
          <t>VÄSTRA GÖTALANDS LÄN</t>
        </is>
      </c>
      <c r="E463" t="inlineStr">
        <is>
          <t>TROLLHÄTTAN</t>
        </is>
      </c>
      <c r="G463" t="n">
        <v>0.8</v>
      </c>
      <c r="H463" t="n">
        <v>0</v>
      </c>
      <c r="I463" t="n">
        <v>0</v>
      </c>
      <c r="J463" t="n">
        <v>0</v>
      </c>
      <c r="K463" t="n">
        <v>0</v>
      </c>
      <c r="L463" t="n">
        <v>0</v>
      </c>
      <c r="M463" t="n">
        <v>0</v>
      </c>
      <c r="N463" t="n">
        <v>0</v>
      </c>
      <c r="O463" t="n">
        <v>0</v>
      </c>
      <c r="P463" t="n">
        <v>0</v>
      </c>
      <c r="Q463" t="n">
        <v>0</v>
      </c>
      <c r="R463" s="2" t="inlineStr"/>
    </row>
    <row r="464" ht="15" customHeight="1">
      <c r="A464" t="inlineStr">
        <is>
          <t>A 61884-2024</t>
        </is>
      </c>
      <c r="B464" s="1" t="n">
        <v>45652</v>
      </c>
      <c r="C464" s="1" t="n">
        <v>45837</v>
      </c>
      <c r="D464" t="inlineStr">
        <is>
          <t>VÄSTRA GÖTALANDS LÄN</t>
        </is>
      </c>
      <c r="E464" t="inlineStr">
        <is>
          <t>TROLLHÄTTAN</t>
        </is>
      </c>
      <c r="G464" t="n">
        <v>2</v>
      </c>
      <c r="H464" t="n">
        <v>0</v>
      </c>
      <c r="I464" t="n">
        <v>0</v>
      </c>
      <c r="J464" t="n">
        <v>0</v>
      </c>
      <c r="K464" t="n">
        <v>0</v>
      </c>
      <c r="L464" t="n">
        <v>0</v>
      </c>
      <c r="M464" t="n">
        <v>0</v>
      </c>
      <c r="N464" t="n">
        <v>0</v>
      </c>
      <c r="O464" t="n">
        <v>0</v>
      </c>
      <c r="P464" t="n">
        <v>0</v>
      </c>
      <c r="Q464" t="n">
        <v>0</v>
      </c>
      <c r="R464" s="2" t="inlineStr"/>
    </row>
    <row r="465" ht="15" customHeight="1">
      <c r="A465" t="inlineStr">
        <is>
          <t>A 75-2025</t>
        </is>
      </c>
      <c r="B465" s="1" t="n">
        <v>45659</v>
      </c>
      <c r="C465" s="1" t="n">
        <v>45837</v>
      </c>
      <c r="D465" t="inlineStr">
        <is>
          <t>VÄSTRA GÖTALANDS LÄN</t>
        </is>
      </c>
      <c r="E465" t="inlineStr">
        <is>
          <t>TROLLHÄTTAN</t>
        </is>
      </c>
      <c r="G465" t="n">
        <v>5.4</v>
      </c>
      <c r="H465" t="n">
        <v>0</v>
      </c>
      <c r="I465" t="n">
        <v>0</v>
      </c>
      <c r="J465" t="n">
        <v>0</v>
      </c>
      <c r="K465" t="n">
        <v>0</v>
      </c>
      <c r="L465" t="n">
        <v>0</v>
      </c>
      <c r="M465" t="n">
        <v>0</v>
      </c>
      <c r="N465" t="n">
        <v>0</v>
      </c>
      <c r="O465" t="n">
        <v>0</v>
      </c>
      <c r="P465" t="n">
        <v>0</v>
      </c>
      <c r="Q465" t="n">
        <v>0</v>
      </c>
      <c r="R465" s="2" t="inlineStr"/>
    </row>
    <row r="466" ht="15" customHeight="1">
      <c r="A466" t="inlineStr">
        <is>
          <t>A 222-2025</t>
        </is>
      </c>
      <c r="B466" s="1" t="n">
        <v>45660</v>
      </c>
      <c r="C466" s="1" t="n">
        <v>45837</v>
      </c>
      <c r="D466" t="inlineStr">
        <is>
          <t>VÄSTRA GÖTALANDS LÄN</t>
        </is>
      </c>
      <c r="E466" t="inlineStr">
        <is>
          <t>TROLLHÄTTAN</t>
        </is>
      </c>
      <c r="G466" t="n">
        <v>0.8</v>
      </c>
      <c r="H466" t="n">
        <v>0</v>
      </c>
      <c r="I466" t="n">
        <v>0</v>
      </c>
      <c r="J466" t="n">
        <v>0</v>
      </c>
      <c r="K466" t="n">
        <v>0</v>
      </c>
      <c r="L466" t="n">
        <v>0</v>
      </c>
      <c r="M466" t="n">
        <v>0</v>
      </c>
      <c r="N466" t="n">
        <v>0</v>
      </c>
      <c r="O466" t="n">
        <v>0</v>
      </c>
      <c r="P466" t="n">
        <v>0</v>
      </c>
      <c r="Q466" t="n">
        <v>0</v>
      </c>
      <c r="R466" s="2" t="inlineStr"/>
    </row>
    <row r="467" ht="15" customHeight="1">
      <c r="A467" t="inlineStr">
        <is>
          <t>A 223-2025</t>
        </is>
      </c>
      <c r="B467" s="1" t="n">
        <v>45660</v>
      </c>
      <c r="C467" s="1" t="n">
        <v>45837</v>
      </c>
      <c r="D467" t="inlineStr">
        <is>
          <t>VÄSTRA GÖTALANDS LÄN</t>
        </is>
      </c>
      <c r="E467" t="inlineStr">
        <is>
          <t>TROLLHÄTTAN</t>
        </is>
      </c>
      <c r="G467" t="n">
        <v>1.5</v>
      </c>
      <c r="H467" t="n">
        <v>0</v>
      </c>
      <c r="I467" t="n">
        <v>0</v>
      </c>
      <c r="J467" t="n">
        <v>0</v>
      </c>
      <c r="K467" t="n">
        <v>0</v>
      </c>
      <c r="L467" t="n">
        <v>0</v>
      </c>
      <c r="M467" t="n">
        <v>0</v>
      </c>
      <c r="N467" t="n">
        <v>0</v>
      </c>
      <c r="O467" t="n">
        <v>0</v>
      </c>
      <c r="P467" t="n">
        <v>0</v>
      </c>
      <c r="Q467" t="n">
        <v>0</v>
      </c>
      <c r="R467" s="2" t="inlineStr"/>
    </row>
    <row r="468" ht="15" customHeight="1">
      <c r="A468" t="inlineStr">
        <is>
          <t>A 370-2025</t>
        </is>
      </c>
      <c r="B468" s="1" t="n">
        <v>45661</v>
      </c>
      <c r="C468" s="1" t="n">
        <v>45837</v>
      </c>
      <c r="D468" t="inlineStr">
        <is>
          <t>VÄSTRA GÖTALANDS LÄN</t>
        </is>
      </c>
      <c r="E468" t="inlineStr">
        <is>
          <t>TROLLHÄTTAN</t>
        </is>
      </c>
      <c r="G468" t="n">
        <v>1.3</v>
      </c>
      <c r="H468" t="n">
        <v>0</v>
      </c>
      <c r="I468" t="n">
        <v>0</v>
      </c>
      <c r="J468" t="n">
        <v>0</v>
      </c>
      <c r="K468" t="n">
        <v>0</v>
      </c>
      <c r="L468" t="n">
        <v>0</v>
      </c>
      <c r="M468" t="n">
        <v>0</v>
      </c>
      <c r="N468" t="n">
        <v>0</v>
      </c>
      <c r="O468" t="n">
        <v>0</v>
      </c>
      <c r="P468" t="n">
        <v>0</v>
      </c>
      <c r="Q468" t="n">
        <v>0</v>
      </c>
      <c r="R468" s="2" t="inlineStr"/>
    </row>
    <row r="469" ht="15" customHeight="1">
      <c r="A469" t="inlineStr">
        <is>
          <t>A 2404-2025</t>
        </is>
      </c>
      <c r="B469" s="1" t="n">
        <v>45674</v>
      </c>
      <c r="C469" s="1" t="n">
        <v>45837</v>
      </c>
      <c r="D469" t="inlineStr">
        <is>
          <t>VÄSTRA GÖTALANDS LÄN</t>
        </is>
      </c>
      <c r="E469" t="inlineStr">
        <is>
          <t>TROLLHÄTTAN</t>
        </is>
      </c>
      <c r="G469" t="n">
        <v>9.9</v>
      </c>
      <c r="H469" t="n">
        <v>0</v>
      </c>
      <c r="I469" t="n">
        <v>0</v>
      </c>
      <c r="J469" t="n">
        <v>0</v>
      </c>
      <c r="K469" t="n">
        <v>0</v>
      </c>
      <c r="L469" t="n">
        <v>0</v>
      </c>
      <c r="M469" t="n">
        <v>0</v>
      </c>
      <c r="N469" t="n">
        <v>0</v>
      </c>
      <c r="O469" t="n">
        <v>0</v>
      </c>
      <c r="P469" t="n">
        <v>0</v>
      </c>
      <c r="Q469" t="n">
        <v>0</v>
      </c>
      <c r="R469" s="2" t="inlineStr"/>
    </row>
    <row r="470" ht="15" customHeight="1">
      <c r="A470" t="inlineStr">
        <is>
          <t>A 2986-2025</t>
        </is>
      </c>
      <c r="B470" s="1" t="n">
        <v>45678</v>
      </c>
      <c r="C470" s="1" t="n">
        <v>45837</v>
      </c>
      <c r="D470" t="inlineStr">
        <is>
          <t>VÄSTRA GÖTALANDS LÄN</t>
        </is>
      </c>
      <c r="E470" t="inlineStr">
        <is>
          <t>TROLLHÄTTAN</t>
        </is>
      </c>
      <c r="G470" t="n">
        <v>1.2</v>
      </c>
      <c r="H470" t="n">
        <v>0</v>
      </c>
      <c r="I470" t="n">
        <v>0</v>
      </c>
      <c r="J470" t="n">
        <v>0</v>
      </c>
      <c r="K470" t="n">
        <v>0</v>
      </c>
      <c r="L470" t="n">
        <v>0</v>
      </c>
      <c r="M470" t="n">
        <v>0</v>
      </c>
      <c r="N470" t="n">
        <v>0</v>
      </c>
      <c r="O470" t="n">
        <v>0</v>
      </c>
      <c r="P470" t="n">
        <v>0</v>
      </c>
      <c r="Q470" t="n">
        <v>0</v>
      </c>
      <c r="R470" s="2" t="inlineStr"/>
    </row>
    <row r="471" ht="15" customHeight="1">
      <c r="A471" t="inlineStr">
        <is>
          <t>A 2987-2025</t>
        </is>
      </c>
      <c r="B471" s="1" t="n">
        <v>45678</v>
      </c>
      <c r="C471" s="1" t="n">
        <v>45837</v>
      </c>
      <c r="D471" t="inlineStr">
        <is>
          <t>VÄSTRA GÖTALANDS LÄN</t>
        </is>
      </c>
      <c r="E471" t="inlineStr">
        <is>
          <t>TROLLHÄTTAN</t>
        </is>
      </c>
      <c r="G471" t="n">
        <v>2</v>
      </c>
      <c r="H471" t="n">
        <v>0</v>
      </c>
      <c r="I471" t="n">
        <v>0</v>
      </c>
      <c r="J471" t="n">
        <v>0</v>
      </c>
      <c r="K471" t="n">
        <v>0</v>
      </c>
      <c r="L471" t="n">
        <v>0</v>
      </c>
      <c r="M471" t="n">
        <v>0</v>
      </c>
      <c r="N471" t="n">
        <v>0</v>
      </c>
      <c r="O471" t="n">
        <v>0</v>
      </c>
      <c r="P471" t="n">
        <v>0</v>
      </c>
      <c r="Q471" t="n">
        <v>0</v>
      </c>
      <c r="R471" s="2" t="inlineStr"/>
    </row>
    <row r="472" ht="15" customHeight="1">
      <c r="A472" t="inlineStr">
        <is>
          <t>A 3272-2025</t>
        </is>
      </c>
      <c r="B472" s="1" t="n">
        <v>45679</v>
      </c>
      <c r="C472" s="1" t="n">
        <v>45837</v>
      </c>
      <c r="D472" t="inlineStr">
        <is>
          <t>VÄSTRA GÖTALANDS LÄN</t>
        </is>
      </c>
      <c r="E472" t="inlineStr">
        <is>
          <t>TROLLHÄTTAN</t>
        </is>
      </c>
      <c r="G472" t="n">
        <v>2.1</v>
      </c>
      <c r="H472" t="n">
        <v>0</v>
      </c>
      <c r="I472" t="n">
        <v>0</v>
      </c>
      <c r="J472" t="n">
        <v>0</v>
      </c>
      <c r="K472" t="n">
        <v>0</v>
      </c>
      <c r="L472" t="n">
        <v>0</v>
      </c>
      <c r="M472" t="n">
        <v>0</v>
      </c>
      <c r="N472" t="n">
        <v>0</v>
      </c>
      <c r="O472" t="n">
        <v>0</v>
      </c>
      <c r="P472" t="n">
        <v>0</v>
      </c>
      <c r="Q472" t="n">
        <v>0</v>
      </c>
      <c r="R472" s="2" t="inlineStr"/>
    </row>
    <row r="473" ht="15" customHeight="1">
      <c r="A473" t="inlineStr">
        <is>
          <t>A 3886-2025</t>
        </is>
      </c>
      <c r="B473" s="1" t="n">
        <v>45684</v>
      </c>
      <c r="C473" s="1" t="n">
        <v>45837</v>
      </c>
      <c r="D473" t="inlineStr">
        <is>
          <t>VÄSTRA GÖTALANDS LÄN</t>
        </is>
      </c>
      <c r="E473" t="inlineStr">
        <is>
          <t>TROLLHÄTTAN</t>
        </is>
      </c>
      <c r="F473" t="inlineStr">
        <is>
          <t>Kommuner</t>
        </is>
      </c>
      <c r="G473" t="n">
        <v>0.6</v>
      </c>
      <c r="H473" t="n">
        <v>0</v>
      </c>
      <c r="I473" t="n">
        <v>0</v>
      </c>
      <c r="J473" t="n">
        <v>0</v>
      </c>
      <c r="K473" t="n">
        <v>0</v>
      </c>
      <c r="L473" t="n">
        <v>0</v>
      </c>
      <c r="M473" t="n">
        <v>0</v>
      </c>
      <c r="N473" t="n">
        <v>0</v>
      </c>
      <c r="O473" t="n">
        <v>0</v>
      </c>
      <c r="P473" t="n">
        <v>0</v>
      </c>
      <c r="Q473" t="n">
        <v>0</v>
      </c>
      <c r="R473" s="2" t="inlineStr"/>
    </row>
    <row r="474" ht="15" customHeight="1">
      <c r="A474" t="inlineStr">
        <is>
          <t>A 4077-2025</t>
        </is>
      </c>
      <c r="B474" s="1" t="n">
        <v>45684</v>
      </c>
      <c r="C474" s="1" t="n">
        <v>45837</v>
      </c>
      <c r="D474" t="inlineStr">
        <is>
          <t>VÄSTRA GÖTALANDS LÄN</t>
        </is>
      </c>
      <c r="E474" t="inlineStr">
        <is>
          <t>TROLLHÄTTAN</t>
        </is>
      </c>
      <c r="G474" t="n">
        <v>1.5</v>
      </c>
      <c r="H474" t="n">
        <v>0</v>
      </c>
      <c r="I474" t="n">
        <v>0</v>
      </c>
      <c r="J474" t="n">
        <v>0</v>
      </c>
      <c r="K474" t="n">
        <v>0</v>
      </c>
      <c r="L474" t="n">
        <v>0</v>
      </c>
      <c r="M474" t="n">
        <v>0</v>
      </c>
      <c r="N474" t="n">
        <v>0</v>
      </c>
      <c r="O474" t="n">
        <v>0</v>
      </c>
      <c r="P474" t="n">
        <v>0</v>
      </c>
      <c r="Q474" t="n">
        <v>0</v>
      </c>
      <c r="R474" s="2" t="inlineStr"/>
    </row>
    <row r="475" ht="15" customHeight="1">
      <c r="A475" t="inlineStr">
        <is>
          <t>A 4141-2025</t>
        </is>
      </c>
      <c r="B475" s="1" t="n">
        <v>45685</v>
      </c>
      <c r="C475" s="1" t="n">
        <v>45837</v>
      </c>
      <c r="D475" t="inlineStr">
        <is>
          <t>VÄSTRA GÖTALANDS LÄN</t>
        </is>
      </c>
      <c r="E475" t="inlineStr">
        <is>
          <t>TROLLHÄTTAN</t>
        </is>
      </c>
      <c r="G475" t="n">
        <v>4.2</v>
      </c>
      <c r="H475" t="n">
        <v>0</v>
      </c>
      <c r="I475" t="n">
        <v>0</v>
      </c>
      <c r="J475" t="n">
        <v>0</v>
      </c>
      <c r="K475" t="n">
        <v>0</v>
      </c>
      <c r="L475" t="n">
        <v>0</v>
      </c>
      <c r="M475" t="n">
        <v>0</v>
      </c>
      <c r="N475" t="n">
        <v>0</v>
      </c>
      <c r="O475" t="n">
        <v>0</v>
      </c>
      <c r="P475" t="n">
        <v>0</v>
      </c>
      <c r="Q475" t="n">
        <v>0</v>
      </c>
      <c r="R475" s="2" t="inlineStr"/>
    </row>
    <row r="476" ht="15" customHeight="1">
      <c r="A476" t="inlineStr">
        <is>
          <t>A 4307-2025</t>
        </is>
      </c>
      <c r="B476" s="1" t="n">
        <v>45685</v>
      </c>
      <c r="C476" s="1" t="n">
        <v>45837</v>
      </c>
      <c r="D476" t="inlineStr">
        <is>
          <t>VÄSTRA GÖTALANDS LÄN</t>
        </is>
      </c>
      <c r="E476" t="inlineStr">
        <is>
          <t>TROLLHÄTTAN</t>
        </is>
      </c>
      <c r="G476" t="n">
        <v>1.1</v>
      </c>
      <c r="H476" t="n">
        <v>0</v>
      </c>
      <c r="I476" t="n">
        <v>0</v>
      </c>
      <c r="J476" t="n">
        <v>0</v>
      </c>
      <c r="K476" t="n">
        <v>0</v>
      </c>
      <c r="L476" t="n">
        <v>0</v>
      </c>
      <c r="M476" t="n">
        <v>0</v>
      </c>
      <c r="N476" t="n">
        <v>0</v>
      </c>
      <c r="O476" t="n">
        <v>0</v>
      </c>
      <c r="P476" t="n">
        <v>0</v>
      </c>
      <c r="Q476" t="n">
        <v>0</v>
      </c>
      <c r="R476" s="2" t="inlineStr"/>
    </row>
    <row r="477" ht="15" customHeight="1">
      <c r="A477" t="inlineStr">
        <is>
          <t>A 6354-2025</t>
        </is>
      </c>
      <c r="B477" s="1" t="n">
        <v>45699</v>
      </c>
      <c r="C477" s="1" t="n">
        <v>45837</v>
      </c>
      <c r="D477" t="inlineStr">
        <is>
          <t>VÄSTRA GÖTALANDS LÄN</t>
        </is>
      </c>
      <c r="E477" t="inlineStr">
        <is>
          <t>TROLLHÄTTAN</t>
        </is>
      </c>
      <c r="G477" t="n">
        <v>19.3</v>
      </c>
      <c r="H477" t="n">
        <v>0</v>
      </c>
      <c r="I477" t="n">
        <v>0</v>
      </c>
      <c r="J477" t="n">
        <v>0</v>
      </c>
      <c r="K477" t="n">
        <v>0</v>
      </c>
      <c r="L477" t="n">
        <v>0</v>
      </c>
      <c r="M477" t="n">
        <v>0</v>
      </c>
      <c r="N477" t="n">
        <v>0</v>
      </c>
      <c r="O477" t="n">
        <v>0</v>
      </c>
      <c r="P477" t="n">
        <v>0</v>
      </c>
      <c r="Q477" t="n">
        <v>0</v>
      </c>
      <c r="R477" s="2" t="inlineStr"/>
    </row>
    <row r="478" ht="15" customHeight="1">
      <c r="A478" t="inlineStr">
        <is>
          <t>A 7558-2025</t>
        </is>
      </c>
      <c r="B478" s="1" t="n">
        <v>45705</v>
      </c>
      <c r="C478" s="1" t="n">
        <v>45837</v>
      </c>
      <c r="D478" t="inlineStr">
        <is>
          <t>VÄSTRA GÖTALANDS LÄN</t>
        </is>
      </c>
      <c r="E478" t="inlineStr">
        <is>
          <t>TROLLHÄTTAN</t>
        </is>
      </c>
      <c r="G478" t="n">
        <v>1.5</v>
      </c>
      <c r="H478" t="n">
        <v>0</v>
      </c>
      <c r="I478" t="n">
        <v>0</v>
      </c>
      <c r="J478" t="n">
        <v>0</v>
      </c>
      <c r="K478" t="n">
        <v>0</v>
      </c>
      <c r="L478" t="n">
        <v>0</v>
      </c>
      <c r="M478" t="n">
        <v>0</v>
      </c>
      <c r="N478" t="n">
        <v>0</v>
      </c>
      <c r="O478" t="n">
        <v>0</v>
      </c>
      <c r="P478" t="n">
        <v>0</v>
      </c>
      <c r="Q478" t="n">
        <v>0</v>
      </c>
      <c r="R478" s="2" t="inlineStr"/>
    </row>
    <row r="479" ht="15" customHeight="1">
      <c r="A479" t="inlineStr">
        <is>
          <t>A 8883-2025</t>
        </is>
      </c>
      <c r="B479" s="1" t="n">
        <v>45713</v>
      </c>
      <c r="C479" s="1" t="n">
        <v>45837</v>
      </c>
      <c r="D479" t="inlineStr">
        <is>
          <t>VÄSTRA GÖTALANDS LÄN</t>
        </is>
      </c>
      <c r="E479" t="inlineStr">
        <is>
          <t>TROLLHÄTTAN</t>
        </is>
      </c>
      <c r="G479" t="n">
        <v>4.7</v>
      </c>
      <c r="H479" t="n">
        <v>0</v>
      </c>
      <c r="I479" t="n">
        <v>0</v>
      </c>
      <c r="J479" t="n">
        <v>0</v>
      </c>
      <c r="K479" t="n">
        <v>0</v>
      </c>
      <c r="L479" t="n">
        <v>0</v>
      </c>
      <c r="M479" t="n">
        <v>0</v>
      </c>
      <c r="N479" t="n">
        <v>0</v>
      </c>
      <c r="O479" t="n">
        <v>0</v>
      </c>
      <c r="P479" t="n">
        <v>0</v>
      </c>
      <c r="Q479" t="n">
        <v>0</v>
      </c>
      <c r="R479" s="2" t="inlineStr"/>
    </row>
    <row r="480" ht="15" customHeight="1">
      <c r="A480" t="inlineStr">
        <is>
          <t>A 8869-2025</t>
        </is>
      </c>
      <c r="B480" s="1" t="n">
        <v>45713</v>
      </c>
      <c r="C480" s="1" t="n">
        <v>45837</v>
      </c>
      <c r="D480" t="inlineStr">
        <is>
          <t>VÄSTRA GÖTALANDS LÄN</t>
        </is>
      </c>
      <c r="E480" t="inlineStr">
        <is>
          <t>TROLLHÄTTAN</t>
        </is>
      </c>
      <c r="G480" t="n">
        <v>4</v>
      </c>
      <c r="H480" t="n">
        <v>0</v>
      </c>
      <c r="I480" t="n">
        <v>0</v>
      </c>
      <c r="J480" t="n">
        <v>0</v>
      </c>
      <c r="K480" t="n">
        <v>0</v>
      </c>
      <c r="L480" t="n">
        <v>0</v>
      </c>
      <c r="M480" t="n">
        <v>0</v>
      </c>
      <c r="N480" t="n">
        <v>0</v>
      </c>
      <c r="O480" t="n">
        <v>0</v>
      </c>
      <c r="P480" t="n">
        <v>0</v>
      </c>
      <c r="Q480" t="n">
        <v>0</v>
      </c>
      <c r="R480" s="2" t="inlineStr"/>
    </row>
    <row r="481" ht="15" customHeight="1">
      <c r="A481" t="inlineStr">
        <is>
          <t>A 11837-2025</t>
        </is>
      </c>
      <c r="B481" s="1" t="n">
        <v>45728</v>
      </c>
      <c r="C481" s="1" t="n">
        <v>45837</v>
      </c>
      <c r="D481" t="inlineStr">
        <is>
          <t>VÄSTRA GÖTALANDS LÄN</t>
        </is>
      </c>
      <c r="E481" t="inlineStr">
        <is>
          <t>TROLLHÄTTAN</t>
        </is>
      </c>
      <c r="G481" t="n">
        <v>1.8</v>
      </c>
      <c r="H481" t="n">
        <v>0</v>
      </c>
      <c r="I481" t="n">
        <v>0</v>
      </c>
      <c r="J481" t="n">
        <v>0</v>
      </c>
      <c r="K481" t="n">
        <v>0</v>
      </c>
      <c r="L481" t="n">
        <v>0</v>
      </c>
      <c r="M481" t="n">
        <v>0</v>
      </c>
      <c r="N481" t="n">
        <v>0</v>
      </c>
      <c r="O481" t="n">
        <v>0</v>
      </c>
      <c r="P481" t="n">
        <v>0</v>
      </c>
      <c r="Q481" t="n">
        <v>0</v>
      </c>
      <c r="R481" s="2" t="inlineStr"/>
    </row>
    <row r="482" ht="15" customHeight="1">
      <c r="A482" t="inlineStr">
        <is>
          <t>A 13051-2025</t>
        </is>
      </c>
      <c r="B482" s="1" t="n">
        <v>45734</v>
      </c>
      <c r="C482" s="1" t="n">
        <v>45837</v>
      </c>
      <c r="D482" t="inlineStr">
        <is>
          <t>VÄSTRA GÖTALANDS LÄN</t>
        </is>
      </c>
      <c r="E482" t="inlineStr">
        <is>
          <t>TROLLHÄTTAN</t>
        </is>
      </c>
      <c r="G482" t="n">
        <v>0.8</v>
      </c>
      <c r="H482" t="n">
        <v>0</v>
      </c>
      <c r="I482" t="n">
        <v>0</v>
      </c>
      <c r="J482" t="n">
        <v>0</v>
      </c>
      <c r="K482" t="n">
        <v>0</v>
      </c>
      <c r="L482" t="n">
        <v>0</v>
      </c>
      <c r="M482" t="n">
        <v>0</v>
      </c>
      <c r="N482" t="n">
        <v>0</v>
      </c>
      <c r="O482" t="n">
        <v>0</v>
      </c>
      <c r="P482" t="n">
        <v>0</v>
      </c>
      <c r="Q482" t="n">
        <v>0</v>
      </c>
      <c r="R482" s="2" t="inlineStr"/>
    </row>
    <row r="483" ht="15" customHeight="1">
      <c r="A483" t="inlineStr">
        <is>
          <t>A 13048-2025</t>
        </is>
      </c>
      <c r="B483" s="1" t="n">
        <v>45734</v>
      </c>
      <c r="C483" s="1" t="n">
        <v>45837</v>
      </c>
      <c r="D483" t="inlineStr">
        <is>
          <t>VÄSTRA GÖTALANDS LÄN</t>
        </is>
      </c>
      <c r="E483" t="inlineStr">
        <is>
          <t>TROLLHÄTTAN</t>
        </is>
      </c>
      <c r="G483" t="n">
        <v>2.4</v>
      </c>
      <c r="H483" t="n">
        <v>0</v>
      </c>
      <c r="I483" t="n">
        <v>0</v>
      </c>
      <c r="J483" t="n">
        <v>0</v>
      </c>
      <c r="K483" t="n">
        <v>0</v>
      </c>
      <c r="L483" t="n">
        <v>0</v>
      </c>
      <c r="M483" t="n">
        <v>0</v>
      </c>
      <c r="N483" t="n">
        <v>0</v>
      </c>
      <c r="O483" t="n">
        <v>0</v>
      </c>
      <c r="P483" t="n">
        <v>0</v>
      </c>
      <c r="Q483" t="n">
        <v>0</v>
      </c>
      <c r="R483" s="2" t="inlineStr"/>
    </row>
    <row r="484" ht="15" customHeight="1">
      <c r="A484" t="inlineStr">
        <is>
          <t>A 15648-2025</t>
        </is>
      </c>
      <c r="B484" s="1" t="n">
        <v>45748</v>
      </c>
      <c r="C484" s="1" t="n">
        <v>45837</v>
      </c>
      <c r="D484" t="inlineStr">
        <is>
          <t>VÄSTRA GÖTALANDS LÄN</t>
        </is>
      </c>
      <c r="E484" t="inlineStr">
        <is>
          <t>TROLLHÄTTAN</t>
        </is>
      </c>
      <c r="G484" t="n">
        <v>2.2</v>
      </c>
      <c r="H484" t="n">
        <v>0</v>
      </c>
      <c r="I484" t="n">
        <v>0</v>
      </c>
      <c r="J484" t="n">
        <v>0</v>
      </c>
      <c r="K484" t="n">
        <v>0</v>
      </c>
      <c r="L484" t="n">
        <v>0</v>
      </c>
      <c r="M484" t="n">
        <v>0</v>
      </c>
      <c r="N484" t="n">
        <v>0</v>
      </c>
      <c r="O484" t="n">
        <v>0</v>
      </c>
      <c r="P484" t="n">
        <v>0</v>
      </c>
      <c r="Q484" t="n">
        <v>0</v>
      </c>
      <c r="R484" s="2" t="inlineStr"/>
    </row>
    <row r="485" ht="15" customHeight="1">
      <c r="A485" t="inlineStr">
        <is>
          <t>A 15658-2025</t>
        </is>
      </c>
      <c r="B485" s="1" t="n">
        <v>45748</v>
      </c>
      <c r="C485" s="1" t="n">
        <v>45837</v>
      </c>
      <c r="D485" t="inlineStr">
        <is>
          <t>VÄSTRA GÖTALANDS LÄN</t>
        </is>
      </c>
      <c r="E485" t="inlineStr">
        <is>
          <t>TROLLHÄTTAN</t>
        </is>
      </c>
      <c r="G485" t="n">
        <v>0.6</v>
      </c>
      <c r="H485" t="n">
        <v>0</v>
      </c>
      <c r="I485" t="n">
        <v>0</v>
      </c>
      <c r="J485" t="n">
        <v>0</v>
      </c>
      <c r="K485" t="n">
        <v>0</v>
      </c>
      <c r="L485" t="n">
        <v>0</v>
      </c>
      <c r="M485" t="n">
        <v>0</v>
      </c>
      <c r="N485" t="n">
        <v>0</v>
      </c>
      <c r="O485" t="n">
        <v>0</v>
      </c>
      <c r="P485" t="n">
        <v>0</v>
      </c>
      <c r="Q485" t="n">
        <v>0</v>
      </c>
      <c r="R485" s="2" t="inlineStr"/>
    </row>
    <row r="486" ht="15" customHeight="1">
      <c r="A486" t="inlineStr">
        <is>
          <t>A 15656-2025</t>
        </is>
      </c>
      <c r="B486" s="1" t="n">
        <v>45748</v>
      </c>
      <c r="C486" s="1" t="n">
        <v>45837</v>
      </c>
      <c r="D486" t="inlineStr">
        <is>
          <t>VÄSTRA GÖTALANDS LÄN</t>
        </is>
      </c>
      <c r="E486" t="inlineStr">
        <is>
          <t>TROLLHÄTTAN</t>
        </is>
      </c>
      <c r="G486" t="n">
        <v>0.9</v>
      </c>
      <c r="H486" t="n">
        <v>0</v>
      </c>
      <c r="I486" t="n">
        <v>0</v>
      </c>
      <c r="J486" t="n">
        <v>0</v>
      </c>
      <c r="K486" t="n">
        <v>0</v>
      </c>
      <c r="L486" t="n">
        <v>0</v>
      </c>
      <c r="M486" t="n">
        <v>0</v>
      </c>
      <c r="N486" t="n">
        <v>0</v>
      </c>
      <c r="O486" t="n">
        <v>0</v>
      </c>
      <c r="P486" t="n">
        <v>0</v>
      </c>
      <c r="Q486" t="n">
        <v>0</v>
      </c>
      <c r="R486" s="2" t="inlineStr"/>
    </row>
    <row r="487" ht="15" customHeight="1">
      <c r="A487" t="inlineStr">
        <is>
          <t>A 15659-2025</t>
        </is>
      </c>
      <c r="B487" s="1" t="n">
        <v>45748</v>
      </c>
      <c r="C487" s="1" t="n">
        <v>45837</v>
      </c>
      <c r="D487" t="inlineStr">
        <is>
          <t>VÄSTRA GÖTALANDS LÄN</t>
        </is>
      </c>
      <c r="E487" t="inlineStr">
        <is>
          <t>TROLLHÄTTAN</t>
        </is>
      </c>
      <c r="G487" t="n">
        <v>0.3</v>
      </c>
      <c r="H487" t="n">
        <v>0</v>
      </c>
      <c r="I487" t="n">
        <v>0</v>
      </c>
      <c r="J487" t="n">
        <v>0</v>
      </c>
      <c r="K487" t="n">
        <v>0</v>
      </c>
      <c r="L487" t="n">
        <v>0</v>
      </c>
      <c r="M487" t="n">
        <v>0</v>
      </c>
      <c r="N487" t="n">
        <v>0</v>
      </c>
      <c r="O487" t="n">
        <v>0</v>
      </c>
      <c r="P487" t="n">
        <v>0</v>
      </c>
      <c r="Q487" t="n">
        <v>0</v>
      </c>
      <c r="R487" s="2" t="inlineStr"/>
    </row>
    <row r="488" ht="15" customHeight="1">
      <c r="A488" t="inlineStr">
        <is>
          <t>A 17476-2025</t>
        </is>
      </c>
      <c r="B488" s="1" t="n">
        <v>45757</v>
      </c>
      <c r="C488" s="1" t="n">
        <v>45837</v>
      </c>
      <c r="D488" t="inlineStr">
        <is>
          <t>VÄSTRA GÖTALANDS LÄN</t>
        </is>
      </c>
      <c r="E488" t="inlineStr">
        <is>
          <t>TROLLHÄTTAN</t>
        </is>
      </c>
      <c r="G488" t="n">
        <v>1.5</v>
      </c>
      <c r="H488" t="n">
        <v>0</v>
      </c>
      <c r="I488" t="n">
        <v>0</v>
      </c>
      <c r="J488" t="n">
        <v>0</v>
      </c>
      <c r="K488" t="n">
        <v>0</v>
      </c>
      <c r="L488" t="n">
        <v>0</v>
      </c>
      <c r="M488" t="n">
        <v>0</v>
      </c>
      <c r="N488" t="n">
        <v>0</v>
      </c>
      <c r="O488" t="n">
        <v>0</v>
      </c>
      <c r="P488" t="n">
        <v>0</v>
      </c>
      <c r="Q488" t="n">
        <v>0</v>
      </c>
      <c r="R488" s="2" t="inlineStr"/>
    </row>
    <row r="489" ht="15" customHeight="1">
      <c r="A489" t="inlineStr">
        <is>
          <t>A 18597-2025</t>
        </is>
      </c>
      <c r="B489" s="1" t="n">
        <v>45763</v>
      </c>
      <c r="C489" s="1" t="n">
        <v>45837</v>
      </c>
      <c r="D489" t="inlineStr">
        <is>
          <t>VÄSTRA GÖTALANDS LÄN</t>
        </is>
      </c>
      <c r="E489" t="inlineStr">
        <is>
          <t>TROLLHÄTTAN</t>
        </is>
      </c>
      <c r="G489" t="n">
        <v>1.5</v>
      </c>
      <c r="H489" t="n">
        <v>0</v>
      </c>
      <c r="I489" t="n">
        <v>0</v>
      </c>
      <c r="J489" t="n">
        <v>0</v>
      </c>
      <c r="K489" t="n">
        <v>0</v>
      </c>
      <c r="L489" t="n">
        <v>0</v>
      </c>
      <c r="M489" t="n">
        <v>0</v>
      </c>
      <c r="N489" t="n">
        <v>0</v>
      </c>
      <c r="O489" t="n">
        <v>0</v>
      </c>
      <c r="P489" t="n">
        <v>0</v>
      </c>
      <c r="Q489" t="n">
        <v>0</v>
      </c>
      <c r="R489" s="2" t="inlineStr"/>
    </row>
    <row r="490" ht="15" customHeight="1">
      <c r="A490" t="inlineStr">
        <is>
          <t>A 18612-2025</t>
        </is>
      </c>
      <c r="B490" s="1" t="n">
        <v>45763</v>
      </c>
      <c r="C490" s="1" t="n">
        <v>45837</v>
      </c>
      <c r="D490" t="inlineStr">
        <is>
          <t>VÄSTRA GÖTALANDS LÄN</t>
        </is>
      </c>
      <c r="E490" t="inlineStr">
        <is>
          <t>TROLLHÄTTAN</t>
        </is>
      </c>
      <c r="G490" t="n">
        <v>2.5</v>
      </c>
      <c r="H490" t="n">
        <v>0</v>
      </c>
      <c r="I490" t="n">
        <v>0</v>
      </c>
      <c r="J490" t="n">
        <v>0</v>
      </c>
      <c r="K490" t="n">
        <v>0</v>
      </c>
      <c r="L490" t="n">
        <v>0</v>
      </c>
      <c r="M490" t="n">
        <v>0</v>
      </c>
      <c r="N490" t="n">
        <v>0</v>
      </c>
      <c r="O490" t="n">
        <v>0</v>
      </c>
      <c r="P490" t="n">
        <v>0</v>
      </c>
      <c r="Q490" t="n">
        <v>0</v>
      </c>
      <c r="R490" s="2" t="inlineStr"/>
    </row>
    <row r="491" ht="15" customHeight="1">
      <c r="A491" t="inlineStr">
        <is>
          <t>A 18821-2025</t>
        </is>
      </c>
      <c r="B491" s="1" t="n">
        <v>45764</v>
      </c>
      <c r="C491" s="1" t="n">
        <v>45837</v>
      </c>
      <c r="D491" t="inlineStr">
        <is>
          <t>VÄSTRA GÖTALANDS LÄN</t>
        </is>
      </c>
      <c r="E491" t="inlineStr">
        <is>
          <t>TROLLHÄTTAN</t>
        </is>
      </c>
      <c r="G491" t="n">
        <v>6.9</v>
      </c>
      <c r="H491" t="n">
        <v>0</v>
      </c>
      <c r="I491" t="n">
        <v>0</v>
      </c>
      <c r="J491" t="n">
        <v>0</v>
      </c>
      <c r="K491" t="n">
        <v>0</v>
      </c>
      <c r="L491" t="n">
        <v>0</v>
      </c>
      <c r="M491" t="n">
        <v>0</v>
      </c>
      <c r="N491" t="n">
        <v>0</v>
      </c>
      <c r="O491" t="n">
        <v>0</v>
      </c>
      <c r="P491" t="n">
        <v>0</v>
      </c>
      <c r="Q491" t="n">
        <v>0</v>
      </c>
      <c r="R491" s="2" t="inlineStr"/>
    </row>
    <row r="492" ht="15" customHeight="1">
      <c r="A492" t="inlineStr">
        <is>
          <t>A 19447-2025</t>
        </is>
      </c>
      <c r="B492" s="1" t="n">
        <v>45770</v>
      </c>
      <c r="C492" s="1" t="n">
        <v>45837</v>
      </c>
      <c r="D492" t="inlineStr">
        <is>
          <t>VÄSTRA GÖTALANDS LÄN</t>
        </is>
      </c>
      <c r="E492" t="inlineStr">
        <is>
          <t>TROLLHÄTTAN</t>
        </is>
      </c>
      <c r="G492" t="n">
        <v>4.9</v>
      </c>
      <c r="H492" t="n">
        <v>0</v>
      </c>
      <c r="I492" t="n">
        <v>0</v>
      </c>
      <c r="J492" t="n">
        <v>0</v>
      </c>
      <c r="K492" t="n">
        <v>0</v>
      </c>
      <c r="L492" t="n">
        <v>0</v>
      </c>
      <c r="M492" t="n">
        <v>0</v>
      </c>
      <c r="N492" t="n">
        <v>0</v>
      </c>
      <c r="O492" t="n">
        <v>0</v>
      </c>
      <c r="P492" t="n">
        <v>0</v>
      </c>
      <c r="Q492" t="n">
        <v>0</v>
      </c>
      <c r="R492" s="2" t="inlineStr"/>
    </row>
    <row r="493" ht="15" customHeight="1">
      <c r="A493" t="inlineStr">
        <is>
          <t>A 19781-2025</t>
        </is>
      </c>
      <c r="B493" s="1" t="n">
        <v>45771</v>
      </c>
      <c r="C493" s="1" t="n">
        <v>45837</v>
      </c>
      <c r="D493" t="inlineStr">
        <is>
          <t>VÄSTRA GÖTALANDS LÄN</t>
        </is>
      </c>
      <c r="E493" t="inlineStr">
        <is>
          <t>TROLLHÄTTAN</t>
        </is>
      </c>
      <c r="G493" t="n">
        <v>6.1</v>
      </c>
      <c r="H493" t="n">
        <v>0</v>
      </c>
      <c r="I493" t="n">
        <v>0</v>
      </c>
      <c r="J493" t="n">
        <v>0</v>
      </c>
      <c r="K493" t="n">
        <v>0</v>
      </c>
      <c r="L493" t="n">
        <v>0</v>
      </c>
      <c r="M493" t="n">
        <v>0</v>
      </c>
      <c r="N493" t="n">
        <v>0</v>
      </c>
      <c r="O493" t="n">
        <v>0</v>
      </c>
      <c r="P493" t="n">
        <v>0</v>
      </c>
      <c r="Q493" t="n">
        <v>0</v>
      </c>
      <c r="R493" s="2" t="inlineStr"/>
    </row>
    <row r="494" ht="15" customHeight="1">
      <c r="A494" t="inlineStr">
        <is>
          <t>A 19773-2025</t>
        </is>
      </c>
      <c r="B494" s="1" t="n">
        <v>45771</v>
      </c>
      <c r="C494" s="1" t="n">
        <v>45837</v>
      </c>
      <c r="D494" t="inlineStr">
        <is>
          <t>VÄSTRA GÖTALANDS LÄN</t>
        </is>
      </c>
      <c r="E494" t="inlineStr">
        <is>
          <t>TROLLHÄTTAN</t>
        </is>
      </c>
      <c r="G494" t="n">
        <v>1.3</v>
      </c>
      <c r="H494" t="n">
        <v>0</v>
      </c>
      <c r="I494" t="n">
        <v>0</v>
      </c>
      <c r="J494" t="n">
        <v>0</v>
      </c>
      <c r="K494" t="n">
        <v>0</v>
      </c>
      <c r="L494" t="n">
        <v>0</v>
      </c>
      <c r="M494" t="n">
        <v>0</v>
      </c>
      <c r="N494" t="n">
        <v>0</v>
      </c>
      <c r="O494" t="n">
        <v>0</v>
      </c>
      <c r="P494" t="n">
        <v>0</v>
      </c>
      <c r="Q494" t="n">
        <v>0</v>
      </c>
      <c r="R494" s="2" t="inlineStr"/>
    </row>
    <row r="495" ht="15" customHeight="1">
      <c r="A495" t="inlineStr">
        <is>
          <t>A 20955-2025</t>
        </is>
      </c>
      <c r="B495" s="1" t="n">
        <v>45777</v>
      </c>
      <c r="C495" s="1" t="n">
        <v>45837</v>
      </c>
      <c r="D495" t="inlineStr">
        <is>
          <t>VÄSTRA GÖTALANDS LÄN</t>
        </is>
      </c>
      <c r="E495" t="inlineStr">
        <is>
          <t>TROLLHÄTTAN</t>
        </is>
      </c>
      <c r="G495" t="n">
        <v>1.2</v>
      </c>
      <c r="H495" t="n">
        <v>0</v>
      </c>
      <c r="I495" t="n">
        <v>0</v>
      </c>
      <c r="J495" t="n">
        <v>0</v>
      </c>
      <c r="K495" t="n">
        <v>0</v>
      </c>
      <c r="L495" t="n">
        <v>0</v>
      </c>
      <c r="M495" t="n">
        <v>0</v>
      </c>
      <c r="N495" t="n">
        <v>0</v>
      </c>
      <c r="O495" t="n">
        <v>0</v>
      </c>
      <c r="P495" t="n">
        <v>0</v>
      </c>
      <c r="Q495" t="n">
        <v>0</v>
      </c>
      <c r="R495" s="2" t="inlineStr"/>
    </row>
    <row r="496" ht="15" customHeight="1">
      <c r="A496" t="inlineStr">
        <is>
          <t>A 21074-2025</t>
        </is>
      </c>
      <c r="B496" s="1" t="n">
        <v>45777</v>
      </c>
      <c r="C496" s="1" t="n">
        <v>45837</v>
      </c>
      <c r="D496" t="inlineStr">
        <is>
          <t>VÄSTRA GÖTALANDS LÄN</t>
        </is>
      </c>
      <c r="E496" t="inlineStr">
        <is>
          <t>TROLLHÄTTAN</t>
        </is>
      </c>
      <c r="G496" t="n">
        <v>1.6</v>
      </c>
      <c r="H496" t="n">
        <v>0</v>
      </c>
      <c r="I496" t="n">
        <v>0</v>
      </c>
      <c r="J496" t="n">
        <v>0</v>
      </c>
      <c r="K496" t="n">
        <v>0</v>
      </c>
      <c r="L496" t="n">
        <v>0</v>
      </c>
      <c r="M496" t="n">
        <v>0</v>
      </c>
      <c r="N496" t="n">
        <v>0</v>
      </c>
      <c r="O496" t="n">
        <v>0</v>
      </c>
      <c r="P496" t="n">
        <v>0</v>
      </c>
      <c r="Q496" t="n">
        <v>0</v>
      </c>
      <c r="R496" s="2" t="inlineStr"/>
    </row>
    <row r="497" ht="15" customHeight="1">
      <c r="A497" t="inlineStr">
        <is>
          <t>A 22016-2025</t>
        </is>
      </c>
      <c r="B497" s="1" t="n">
        <v>45784</v>
      </c>
      <c r="C497" s="1" t="n">
        <v>45837</v>
      </c>
      <c r="D497" t="inlineStr">
        <is>
          <t>VÄSTRA GÖTALANDS LÄN</t>
        </is>
      </c>
      <c r="E497" t="inlineStr">
        <is>
          <t>TROLLHÄTTAN</t>
        </is>
      </c>
      <c r="G497" t="n">
        <v>2.1</v>
      </c>
      <c r="H497" t="n">
        <v>0</v>
      </c>
      <c r="I497" t="n">
        <v>0</v>
      </c>
      <c r="J497" t="n">
        <v>0</v>
      </c>
      <c r="K497" t="n">
        <v>0</v>
      </c>
      <c r="L497" t="n">
        <v>0</v>
      </c>
      <c r="M497" t="n">
        <v>0</v>
      </c>
      <c r="N497" t="n">
        <v>0</v>
      </c>
      <c r="O497" t="n">
        <v>0</v>
      </c>
      <c r="P497" t="n">
        <v>0</v>
      </c>
      <c r="Q497" t="n">
        <v>0</v>
      </c>
      <c r="R497" s="2" t="inlineStr"/>
    </row>
    <row r="498" ht="15" customHeight="1">
      <c r="A498" t="inlineStr">
        <is>
          <t>A 21979-2025</t>
        </is>
      </c>
      <c r="B498" s="1" t="n">
        <v>45784</v>
      </c>
      <c r="C498" s="1" t="n">
        <v>45837</v>
      </c>
      <c r="D498" t="inlineStr">
        <is>
          <t>VÄSTRA GÖTALANDS LÄN</t>
        </is>
      </c>
      <c r="E498" t="inlineStr">
        <is>
          <t>TROLLHÄTTAN</t>
        </is>
      </c>
      <c r="G498" t="n">
        <v>1.4</v>
      </c>
      <c r="H498" t="n">
        <v>0</v>
      </c>
      <c r="I498" t="n">
        <v>0</v>
      </c>
      <c r="J498" t="n">
        <v>0</v>
      </c>
      <c r="K498" t="n">
        <v>0</v>
      </c>
      <c r="L498" t="n">
        <v>0</v>
      </c>
      <c r="M498" t="n">
        <v>0</v>
      </c>
      <c r="N498" t="n">
        <v>0</v>
      </c>
      <c r="O498" t="n">
        <v>0</v>
      </c>
      <c r="P498" t="n">
        <v>0</v>
      </c>
      <c r="Q498" t="n">
        <v>0</v>
      </c>
      <c r="R498" s="2" t="inlineStr"/>
    </row>
    <row r="499" ht="15" customHeight="1">
      <c r="A499" t="inlineStr">
        <is>
          <t>A 24117-2025</t>
        </is>
      </c>
      <c r="B499" s="1" t="n">
        <v>45796</v>
      </c>
      <c r="C499" s="1" t="n">
        <v>45837</v>
      </c>
      <c r="D499" t="inlineStr">
        <is>
          <t>VÄSTRA GÖTALANDS LÄN</t>
        </is>
      </c>
      <c r="E499" t="inlineStr">
        <is>
          <t>TROLLHÄTTAN</t>
        </is>
      </c>
      <c r="G499" t="n">
        <v>3</v>
      </c>
      <c r="H499" t="n">
        <v>0</v>
      </c>
      <c r="I499" t="n">
        <v>0</v>
      </c>
      <c r="J499" t="n">
        <v>0</v>
      </c>
      <c r="K499" t="n">
        <v>0</v>
      </c>
      <c r="L499" t="n">
        <v>0</v>
      </c>
      <c r="M499" t="n">
        <v>0</v>
      </c>
      <c r="N499" t="n">
        <v>0</v>
      </c>
      <c r="O499" t="n">
        <v>0</v>
      </c>
      <c r="P499" t="n">
        <v>0</v>
      </c>
      <c r="Q499" t="n">
        <v>0</v>
      </c>
      <c r="R499" s="2" t="inlineStr"/>
    </row>
    <row r="500" ht="15" customHeight="1">
      <c r="A500" t="inlineStr">
        <is>
          <t>A 24564-2025</t>
        </is>
      </c>
      <c r="B500" s="1" t="n">
        <v>45798</v>
      </c>
      <c r="C500" s="1" t="n">
        <v>45837</v>
      </c>
      <c r="D500" t="inlineStr">
        <is>
          <t>VÄSTRA GÖTALANDS LÄN</t>
        </is>
      </c>
      <c r="E500" t="inlineStr">
        <is>
          <t>TROLLHÄTTAN</t>
        </is>
      </c>
      <c r="G500" t="n">
        <v>2.7</v>
      </c>
      <c r="H500" t="n">
        <v>0</v>
      </c>
      <c r="I500" t="n">
        <v>0</v>
      </c>
      <c r="J500" t="n">
        <v>0</v>
      </c>
      <c r="K500" t="n">
        <v>0</v>
      </c>
      <c r="L500" t="n">
        <v>0</v>
      </c>
      <c r="M500" t="n">
        <v>0</v>
      </c>
      <c r="N500" t="n">
        <v>0</v>
      </c>
      <c r="O500" t="n">
        <v>0</v>
      </c>
      <c r="P500" t="n">
        <v>0</v>
      </c>
      <c r="Q500" t="n">
        <v>0</v>
      </c>
      <c r="R500" s="2" t="inlineStr"/>
    </row>
    <row r="501" ht="15" customHeight="1">
      <c r="A501" t="inlineStr">
        <is>
          <t>A 24559-2025</t>
        </is>
      </c>
      <c r="B501" s="1" t="n">
        <v>45798</v>
      </c>
      <c r="C501" s="1" t="n">
        <v>45837</v>
      </c>
      <c r="D501" t="inlineStr">
        <is>
          <t>VÄSTRA GÖTALANDS LÄN</t>
        </is>
      </c>
      <c r="E501" t="inlineStr">
        <is>
          <t>TROLLHÄTTAN</t>
        </is>
      </c>
      <c r="G501" t="n">
        <v>6.5</v>
      </c>
      <c r="H501" t="n">
        <v>0</v>
      </c>
      <c r="I501" t="n">
        <v>0</v>
      </c>
      <c r="J501" t="n">
        <v>0</v>
      </c>
      <c r="K501" t="n">
        <v>0</v>
      </c>
      <c r="L501" t="n">
        <v>0</v>
      </c>
      <c r="M501" t="n">
        <v>0</v>
      </c>
      <c r="N501" t="n">
        <v>0</v>
      </c>
      <c r="O501" t="n">
        <v>0</v>
      </c>
      <c r="P501" t="n">
        <v>0</v>
      </c>
      <c r="Q501" t="n">
        <v>0</v>
      </c>
      <c r="R501" s="2" t="inlineStr"/>
    </row>
    <row r="502" ht="15" customHeight="1">
      <c r="A502" t="inlineStr">
        <is>
          <t>A 27201-2025</t>
        </is>
      </c>
      <c r="B502" s="1" t="n">
        <v>45812</v>
      </c>
      <c r="C502" s="1" t="n">
        <v>45837</v>
      </c>
      <c r="D502" t="inlineStr">
        <is>
          <t>VÄSTRA GÖTALANDS LÄN</t>
        </is>
      </c>
      <c r="E502" t="inlineStr">
        <is>
          <t>TROLLHÄTTAN</t>
        </is>
      </c>
      <c r="G502" t="n">
        <v>1.1</v>
      </c>
      <c r="H502" t="n">
        <v>0</v>
      </c>
      <c r="I502" t="n">
        <v>0</v>
      </c>
      <c r="J502" t="n">
        <v>0</v>
      </c>
      <c r="K502" t="n">
        <v>0</v>
      </c>
      <c r="L502" t="n">
        <v>0</v>
      </c>
      <c r="M502" t="n">
        <v>0</v>
      </c>
      <c r="N502" t="n">
        <v>0</v>
      </c>
      <c r="O502" t="n">
        <v>0</v>
      </c>
      <c r="P502" t="n">
        <v>0</v>
      </c>
      <c r="Q502" t="n">
        <v>0</v>
      </c>
      <c r="R502" s="2" t="inlineStr"/>
    </row>
    <row r="503" ht="15" customHeight="1">
      <c r="A503" t="inlineStr">
        <is>
          <t>A 28884-2025</t>
        </is>
      </c>
      <c r="B503" s="1" t="n">
        <v>45820</v>
      </c>
      <c r="C503" s="1" t="n">
        <v>45837</v>
      </c>
      <c r="D503" t="inlineStr">
        <is>
          <t>VÄSTRA GÖTALANDS LÄN</t>
        </is>
      </c>
      <c r="E503" t="inlineStr">
        <is>
          <t>TROLLHÄTTAN</t>
        </is>
      </c>
      <c r="G503" t="n">
        <v>3.3</v>
      </c>
      <c r="H503" t="n">
        <v>0</v>
      </c>
      <c r="I503" t="n">
        <v>0</v>
      </c>
      <c r="J503" t="n">
        <v>0</v>
      </c>
      <c r="K503" t="n">
        <v>0</v>
      </c>
      <c r="L503" t="n">
        <v>0</v>
      </c>
      <c r="M503" t="n">
        <v>0</v>
      </c>
      <c r="N503" t="n">
        <v>0</v>
      </c>
      <c r="O503" t="n">
        <v>0</v>
      </c>
      <c r="P503" t="n">
        <v>0</v>
      </c>
      <c r="Q503" t="n">
        <v>0</v>
      </c>
      <c r="R503" s="2" t="inlineStr"/>
    </row>
    <row r="504" ht="15" customHeight="1">
      <c r="A504" t="inlineStr">
        <is>
          <t>A 28882-2025</t>
        </is>
      </c>
      <c r="B504" s="1" t="n">
        <v>45820</v>
      </c>
      <c r="C504" s="1" t="n">
        <v>45837</v>
      </c>
      <c r="D504" t="inlineStr">
        <is>
          <t>VÄSTRA GÖTALANDS LÄN</t>
        </is>
      </c>
      <c r="E504" t="inlineStr">
        <is>
          <t>TROLLHÄTTAN</t>
        </is>
      </c>
      <c r="G504" t="n">
        <v>3</v>
      </c>
      <c r="H504" t="n">
        <v>0</v>
      </c>
      <c r="I504" t="n">
        <v>0</v>
      </c>
      <c r="J504" t="n">
        <v>0</v>
      </c>
      <c r="K504" t="n">
        <v>0</v>
      </c>
      <c r="L504" t="n">
        <v>0</v>
      </c>
      <c r="M504" t="n">
        <v>0</v>
      </c>
      <c r="N504" t="n">
        <v>0</v>
      </c>
      <c r="O504" t="n">
        <v>0</v>
      </c>
      <c r="P504" t="n">
        <v>0</v>
      </c>
      <c r="Q504" t="n">
        <v>0</v>
      </c>
      <c r="R504" s="2" t="inlineStr"/>
    </row>
    <row r="505" ht="15" customHeight="1">
      <c r="A505" t="inlineStr">
        <is>
          <t>A 28746-2025</t>
        </is>
      </c>
      <c r="B505" s="1" t="n">
        <v>45820</v>
      </c>
      <c r="C505" s="1" t="n">
        <v>45837</v>
      </c>
      <c r="D505" t="inlineStr">
        <is>
          <t>VÄSTRA GÖTALANDS LÄN</t>
        </is>
      </c>
      <c r="E505" t="inlineStr">
        <is>
          <t>TROLLHÄTTAN</t>
        </is>
      </c>
      <c r="G505" t="n">
        <v>2.8</v>
      </c>
      <c r="H505" t="n">
        <v>0</v>
      </c>
      <c r="I505" t="n">
        <v>0</v>
      </c>
      <c r="J505" t="n">
        <v>0</v>
      </c>
      <c r="K505" t="n">
        <v>0</v>
      </c>
      <c r="L505" t="n">
        <v>0</v>
      </c>
      <c r="M505" t="n">
        <v>0</v>
      </c>
      <c r="N505" t="n">
        <v>0</v>
      </c>
      <c r="O505" t="n">
        <v>0</v>
      </c>
      <c r="P505" t="n">
        <v>0</v>
      </c>
      <c r="Q505" t="n">
        <v>0</v>
      </c>
      <c r="R505" s="2" t="inlineStr"/>
    </row>
    <row r="506" ht="15" customHeight="1">
      <c r="A506" t="inlineStr">
        <is>
          <t>A 29077-2025</t>
        </is>
      </c>
      <c r="B506" s="1" t="n">
        <v>45821</v>
      </c>
      <c r="C506" s="1" t="n">
        <v>45837</v>
      </c>
      <c r="D506" t="inlineStr">
        <is>
          <t>VÄSTRA GÖTALANDS LÄN</t>
        </is>
      </c>
      <c r="E506" t="inlineStr">
        <is>
          <t>TROLLHÄTTAN</t>
        </is>
      </c>
      <c r="G506" t="n">
        <v>2.7</v>
      </c>
      <c r="H506" t="n">
        <v>0</v>
      </c>
      <c r="I506" t="n">
        <v>0</v>
      </c>
      <c r="J506" t="n">
        <v>0</v>
      </c>
      <c r="K506" t="n">
        <v>0</v>
      </c>
      <c r="L506" t="n">
        <v>0</v>
      </c>
      <c r="M506" t="n">
        <v>0</v>
      </c>
      <c r="N506" t="n">
        <v>0</v>
      </c>
      <c r="O506" t="n">
        <v>0</v>
      </c>
      <c r="P506" t="n">
        <v>0</v>
      </c>
      <c r="Q506" t="n">
        <v>0</v>
      </c>
      <c r="R506" s="2" t="inlineStr"/>
    </row>
    <row r="507" ht="15" customHeight="1">
      <c r="A507" t="inlineStr">
        <is>
          <t>A 29555-2025</t>
        </is>
      </c>
      <c r="B507" s="1" t="n">
        <v>45825</v>
      </c>
      <c r="C507" s="1" t="n">
        <v>45837</v>
      </c>
      <c r="D507" t="inlineStr">
        <is>
          <t>VÄSTRA GÖTALANDS LÄN</t>
        </is>
      </c>
      <c r="E507" t="inlineStr">
        <is>
          <t>TROLLHÄTTAN</t>
        </is>
      </c>
      <c r="G507" t="n">
        <v>4.3</v>
      </c>
      <c r="H507" t="n">
        <v>0</v>
      </c>
      <c r="I507" t="n">
        <v>0</v>
      </c>
      <c r="J507" t="n">
        <v>0</v>
      </c>
      <c r="K507" t="n">
        <v>0</v>
      </c>
      <c r="L507" t="n">
        <v>0</v>
      </c>
      <c r="M507" t="n">
        <v>0</v>
      </c>
      <c r="N507" t="n">
        <v>0</v>
      </c>
      <c r="O507" t="n">
        <v>0</v>
      </c>
      <c r="P507" t="n">
        <v>0</v>
      </c>
      <c r="Q507" t="n">
        <v>0</v>
      </c>
      <c r="R507" s="2" t="inlineStr"/>
    </row>
    <row r="508" ht="15" customHeight="1">
      <c r="A508" t="inlineStr">
        <is>
          <t>A 30486-2025</t>
        </is>
      </c>
      <c r="B508" s="1" t="n">
        <v>45829</v>
      </c>
      <c r="C508" s="1" t="n">
        <v>45837</v>
      </c>
      <c r="D508" t="inlineStr">
        <is>
          <t>VÄSTRA GÖTALANDS LÄN</t>
        </is>
      </c>
      <c r="E508" t="inlineStr">
        <is>
          <t>TROLLHÄTTAN</t>
        </is>
      </c>
      <c r="G508" t="n">
        <v>1.2</v>
      </c>
      <c r="H508" t="n">
        <v>0</v>
      </c>
      <c r="I508" t="n">
        <v>0</v>
      </c>
      <c r="J508" t="n">
        <v>0</v>
      </c>
      <c r="K508" t="n">
        <v>0</v>
      </c>
      <c r="L508" t="n">
        <v>0</v>
      </c>
      <c r="M508" t="n">
        <v>0</v>
      </c>
      <c r="N508" t="n">
        <v>0</v>
      </c>
      <c r="O508" t="n">
        <v>0</v>
      </c>
      <c r="P508" t="n">
        <v>0</v>
      </c>
      <c r="Q508" t="n">
        <v>0</v>
      </c>
      <c r="R508" s="2" t="inlineStr"/>
    </row>
    <row r="509">
      <c r="A509" t="inlineStr">
        <is>
          <t>A 31698-2025</t>
        </is>
      </c>
      <c r="B509" s="1" t="n">
        <v>45834</v>
      </c>
      <c r="C509" s="1" t="n">
        <v>45837</v>
      </c>
      <c r="D509" t="inlineStr">
        <is>
          <t>VÄSTRA GÖTALANDS LÄN</t>
        </is>
      </c>
      <c r="E509" t="inlineStr">
        <is>
          <t>TROLLHÄTTAN</t>
        </is>
      </c>
      <c r="G509" t="n">
        <v>1</v>
      </c>
      <c r="H509" t="n">
        <v>0</v>
      </c>
      <c r="I509" t="n">
        <v>0</v>
      </c>
      <c r="J509" t="n">
        <v>0</v>
      </c>
      <c r="K509" t="n">
        <v>0</v>
      </c>
      <c r="L509" t="n">
        <v>0</v>
      </c>
      <c r="M509" t="n">
        <v>0</v>
      </c>
      <c r="N509" t="n">
        <v>0</v>
      </c>
      <c r="O509" t="n">
        <v>0</v>
      </c>
      <c r="P509" t="n">
        <v>0</v>
      </c>
      <c r="Q509" t="n">
        <v>0</v>
      </c>
      <c r="R50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2025-06-29T19:15:05Z</dcterms:created>
  <dcterms:modified xmlns:dcterms="http://purl.org/dc/terms/" xmlns:xsi="http://www.w3.org/2001/XMLSchema-instance" xsi:type="dcterms:W3CDTF">2025-06-29T19:15:05Z</dcterms:modified>
</cp:coreProperties>
</file>