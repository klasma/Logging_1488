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Y2">
        <f>HYPERLINK("https://klasma.github.io/Logging_1488/klagomål/A 68519-2021 FSC-klagomål.docx", "A 68519-2021")</f>
        <v/>
      </c>
      <c r="Z2">
        <f>HYPERLINK("https://klasma.github.io/Logging_1488/klagomålsmail/A 68519-2021 FSC-klagomål mail.docx", "A 68519-2021")</f>
        <v/>
      </c>
      <c r="AA2">
        <f>HYPERLINK("https://klasma.github.io/Logging_1488/tillsyn/A 68519-2021 tillsynsbegäran.docx", "A 68519-2021")</f>
        <v/>
      </c>
      <c r="AB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Y3">
        <f>HYPERLINK("https://klasma.github.io/Logging_1488/klagomål/A 5767-2023 FSC-klagomål.docx", "A 5767-2023")</f>
        <v/>
      </c>
      <c r="Z3">
        <f>HYPERLINK("https://klasma.github.io/Logging_1488/klagomålsmail/A 5767-2023 FSC-klagomål mail.docx", "A 5767-2023")</f>
        <v/>
      </c>
      <c r="AA3">
        <f>HYPERLINK("https://klasma.github.io/Logging_1488/tillsyn/A 5767-2023 tillsynsbegäran.docx", "A 5767-2023")</f>
        <v/>
      </c>
      <c r="AB3">
        <f>HYPERLINK("https://klasma.github.io/Logging_1488/tillsynsmail/A 5767-2023 tillsynsbegäran mail.docx", "A 5767-2023")</f>
        <v/>
      </c>
      <c r="AC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46220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Grönvit nattviol
Revlummer</t>
        </is>
      </c>
      <c r="V4">
        <f>HYPERLINK("https://klasma.github.io/Logging_1488/artfynd/A 15068-2026 artfynd.xlsx", "A 15068-2026")</f>
        <v/>
      </c>
      <c r="W4">
        <f>HYPERLINK("https://klasma.github.io/Logging_1488/kartor/A 15068-2026 karta.png", "A 15068-2026")</f>
        <v/>
      </c>
      <c r="Y4">
        <f>HYPERLINK("https://klasma.github.io/Logging_1488/klagomål/A 15068-2026 FSC-klagomål.docx", "A 15068-2026")</f>
        <v/>
      </c>
      <c r="Z4">
        <f>HYPERLINK("https://klasma.github.io/Logging_1488/klagomålsmail/A 15068-2026 FSC-klagomål mail.docx", "A 15068-2026")</f>
        <v/>
      </c>
      <c r="AA4">
        <f>HYPERLINK("https://klasma.github.io/Logging_1488/tillsyn/A 15068-2026 tillsynsbegäran.docx", "A 15068-2026")</f>
        <v/>
      </c>
      <c r="AB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46220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Kortskaftad parasitspik
Rostfläck</t>
        </is>
      </c>
      <c r="V5">
        <f>HYPERLINK("https://klasma.github.io/Logging_1488/artfynd/A 15069-2026 artfynd.xlsx", "A 15069-2026")</f>
        <v/>
      </c>
      <c r="W5">
        <f>HYPERLINK("https://klasma.github.io/Logging_1488/kartor/A 15069-2026 karta.png", "A 15069-2026")</f>
        <v/>
      </c>
      <c r="Y5">
        <f>HYPERLINK("https://klasma.github.io/Logging_1488/klagomål/A 15069-2026 FSC-klagomål.docx", "A 15069-2026")</f>
        <v/>
      </c>
      <c r="Z5">
        <f>HYPERLINK("https://klasma.github.io/Logging_1488/klagomålsmail/A 15069-2026 FSC-klagomål mail.docx", "A 15069-2026")</f>
        <v/>
      </c>
      <c r="AA5">
        <f>HYPERLINK("https://klasma.github.io/Logging_1488/tillsyn/A 15069-2026 tillsynsbegäran.docx", "A 15069-2026")</f>
        <v/>
      </c>
      <c r="AB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46220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Svinrot
Blåsippa</t>
        </is>
      </c>
      <c r="V6">
        <f>HYPERLINK("https://klasma.github.io/Logging_1488/artfynd/A 13131-2024 artfynd.xlsx", "A 13131-2024")</f>
        <v/>
      </c>
      <c r="W6">
        <f>HYPERLINK("https://klasma.github.io/Logging_1488/kartor/A 13131-2024 karta.png", "A 13131-2024")</f>
        <v/>
      </c>
      <c r="Y6">
        <f>HYPERLINK("https://klasma.github.io/Logging_1488/klagomål/A 13131-2024 FSC-klagomål.docx", "A 13131-2024")</f>
        <v/>
      </c>
      <c r="Z6">
        <f>HYPERLINK("https://klasma.github.io/Logging_1488/klagomålsmail/A 13131-2024 FSC-klagomål mail.docx", "A 13131-2024")</f>
        <v/>
      </c>
      <c r="AA6">
        <f>HYPERLINK("https://klasma.github.io/Logging_1488/tillsyn/A 13131-2024 tillsynsbegäran.docx", "A 13131-2024")</f>
        <v/>
      </c>
      <c r="AB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46220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HYPERLINK("https://klasma.github.io/Logging_1488/knärot/A 18264-2022 karta knärot.png", "A 18264-2022")</f>
        <v/>
      </c>
      <c r="Y7">
        <f>HYPERLINK("https://klasma.github.io/Logging_1488/klagomål/A 18264-2022 FSC-klagomål.docx", "A 18264-2022")</f>
        <v/>
      </c>
      <c r="Z7">
        <f>HYPERLINK("https://klasma.github.io/Logging_1488/klagomålsmail/A 18264-2022 FSC-klagomål mail.docx", "A 18264-2022")</f>
        <v/>
      </c>
      <c r="AA7">
        <f>HYPERLINK("https://klasma.github.io/Logging_1488/tillsyn/A 18264-2022 tillsynsbegäran.docx", "A 18264-2022")</f>
        <v/>
      </c>
      <c r="AB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46220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Y8">
        <f>HYPERLINK("https://klasma.github.io/Logging_1488/klagomål/A 23175-2023 FSC-klagomål.docx", "A 23175-2023")</f>
        <v/>
      </c>
      <c r="Z8">
        <f>HYPERLINK("https://klasma.github.io/Logging_1488/klagomålsmail/A 23175-2023 FSC-klagomål mail.docx", "A 23175-2023")</f>
        <v/>
      </c>
      <c r="AA8">
        <f>HYPERLINK("https://klasma.github.io/Logging_1488/tillsyn/A 23175-2023 tillsynsbegäran.docx", "A 23175-2023")</f>
        <v/>
      </c>
      <c r="AB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46220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Y9">
        <f>HYPERLINK("https://klasma.github.io/Logging_1488/klagomål/A 2460-2022 FSC-klagomål.docx", "A 2460-2022")</f>
        <v/>
      </c>
      <c r="Z9">
        <f>HYPERLINK("https://klasma.github.io/Logging_1488/klagomålsmail/A 2460-2022 FSC-klagomål mail.docx", "A 2460-2022")</f>
        <v/>
      </c>
      <c r="AA9">
        <f>HYPERLINK("https://klasma.github.io/Logging_1488/tillsyn/A 2460-2022 tillsynsbegäran.docx", "A 2460-2022")</f>
        <v/>
      </c>
      <c r="AB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46220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46220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46220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46220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1296-2022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44572</v>
      </c>
      <c r="E14" s="1" t="n">
        <v>46220</v>
      </c>
      <c r="F14" t="inlineStr">
        <is>
          <t>VÄSTRA GÖTALANDS LÄN</t>
        </is>
      </c>
      <c r="G14" t="inlineStr">
        <is>
          <t>TROLLHÄTTAN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46220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46220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46220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46220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46220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46220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46220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46220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46220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46220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46220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46220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46220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46220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46220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46220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46220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46220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46220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46220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46220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46220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46220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46220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39611-2022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46220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Kommuner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46220</v>
      </c>
      <c r="F40" t="inlineStr">
        <is>
          <t>VÄSTRA GÖTALANDS LÄN</t>
        </is>
      </c>
      <c r="G40" t="inlineStr">
        <is>
          <t>TROLLHÄTTAN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46220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65116-2023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45287</v>
      </c>
      <c r="E42" s="1" t="n">
        <v>46220</v>
      </c>
      <c r="F42" t="inlineStr">
        <is>
          <t>VÄSTRA GÖTALANDS LÄN</t>
        </is>
      </c>
      <c r="G42" t="inlineStr">
        <is>
          <t>TROLLHÄTTAN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15704-2023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46220</v>
      </c>
      <c r="F43" t="inlineStr">
        <is>
          <t>VÄSTRA GÖTALANDS LÄN</t>
        </is>
      </c>
      <c r="G43" t="inlineStr">
        <is>
          <t>TROLLHÄTTAN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45016</v>
      </c>
      <c r="E44" s="1" t="n">
        <v>46220</v>
      </c>
      <c r="F44" t="inlineStr">
        <is>
          <t>VÄSTRA GÖTALANDS LÄN</t>
        </is>
      </c>
      <c r="G44" t="inlineStr">
        <is>
          <t>TROLLHÄTTAN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24129-2024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45456</v>
      </c>
      <c r="E45" s="1" t="n">
        <v>46220</v>
      </c>
      <c r="F45" t="inlineStr">
        <is>
          <t>VÄSTRA GÖTALANDS LÄN</t>
        </is>
      </c>
      <c r="G45" t="inlineStr">
        <is>
          <t>TROLLHÄTTAN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46220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37801-2024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45543</v>
      </c>
      <c r="E47" s="1" t="n">
        <v>46220</v>
      </c>
      <c r="F47" t="inlineStr">
        <is>
          <t>VÄSTRA GÖTALANDS LÄN</t>
        </is>
      </c>
      <c r="G47" t="inlineStr">
        <is>
          <t>TROLLHÄTTAN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46220</v>
      </c>
      <c r="F48" t="inlineStr">
        <is>
          <t>VÄSTRA GÖTALANDS LÄN</t>
        </is>
      </c>
      <c r="G48" t="inlineStr">
        <is>
          <t>TROLLHÄTTAN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16487-2023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45029</v>
      </c>
      <c r="E49" s="1" t="n">
        <v>46220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15645-2024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45404</v>
      </c>
      <c r="E50" s="1" t="n">
        <v>46220</v>
      </c>
      <c r="F50" t="inlineStr">
        <is>
          <t>VÄSTRA GÖTALANDS LÄN</t>
        </is>
      </c>
      <c r="G50" t="inlineStr">
        <is>
          <t>TROLLHÄTTAN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63884-2025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46020</v>
      </c>
      <c r="E51" s="1" t="n">
        <v>46220</v>
      </c>
      <c r="F51" t="inlineStr">
        <is>
          <t>VÄSTRA GÖTALANDS LÄN</t>
        </is>
      </c>
      <c r="G51" t="inlineStr">
        <is>
          <t>TROLLHÄTTAN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46024</v>
      </c>
      <c r="E52" s="1" t="n">
        <v>46220</v>
      </c>
      <c r="F52" t="inlineStr">
        <is>
          <t>VÄSTRA GÖTALANDS LÄN</t>
        </is>
      </c>
      <c r="G52" t="inlineStr">
        <is>
          <t>TROLLHÄTTAN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46024</v>
      </c>
      <c r="E53" s="1" t="n">
        <v>46220</v>
      </c>
      <c r="F53" t="inlineStr">
        <is>
          <t>VÄSTRA GÖTALANDS LÄN</t>
        </is>
      </c>
      <c r="G53" t="inlineStr">
        <is>
          <t>TROLLHÄTTAN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11123-2024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46220</v>
      </c>
      <c r="F54" t="inlineStr">
        <is>
          <t>VÄSTRA GÖTALANDS LÄN</t>
        </is>
      </c>
      <c r="G54" t="inlineStr">
        <is>
          <t>TROLLHÄTTAN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24559-2025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46220</v>
      </c>
      <c r="F55" t="inlineStr">
        <is>
          <t>VÄSTRA GÖTALANDS LÄN</t>
        </is>
      </c>
      <c r="G55" t="inlineStr">
        <is>
          <t>TROLLHÄTTAN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34435-2024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45525</v>
      </c>
      <c r="E56" s="1" t="n">
        <v>46220</v>
      </c>
      <c r="F56" t="inlineStr">
        <is>
          <t>VÄSTRA GÖTALANDS LÄN</t>
        </is>
      </c>
      <c r="G56" t="inlineStr">
        <is>
          <t>TROLLHÄTTAN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55033-2023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45237</v>
      </c>
      <c r="E57" s="1" t="n">
        <v>46220</v>
      </c>
      <c r="F57" t="inlineStr">
        <is>
          <t>VÄSTRA GÖTALANDS LÄN</t>
        </is>
      </c>
      <c r="G57" t="inlineStr">
        <is>
          <t>TROLLHÄTTAN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53401-2022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46220</v>
      </c>
      <c r="F58" t="inlineStr">
        <is>
          <t>VÄSTRA GÖTALANDS LÄN</t>
        </is>
      </c>
      <c r="G58" t="inlineStr">
        <is>
          <t>TROLLHÄTTAN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46220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15648-2025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45748</v>
      </c>
      <c r="E60" s="1" t="n">
        <v>46220</v>
      </c>
      <c r="F60" t="inlineStr">
        <is>
          <t>VÄSTRA GÖTALANDS LÄN</t>
        </is>
      </c>
      <c r="G60" t="inlineStr">
        <is>
          <t>TROLLHÄTTAN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1525-2026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46220</v>
      </c>
      <c r="F61" t="inlineStr">
        <is>
          <t>VÄSTRA GÖTALANDS LÄN</t>
        </is>
      </c>
      <c r="G61" t="inlineStr">
        <is>
          <t>TROLLHÄTTAN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37562-2024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45541</v>
      </c>
      <c r="E62" s="1" t="n">
        <v>46220</v>
      </c>
      <c r="F62" t="inlineStr">
        <is>
          <t>VÄSTRA GÖTALANDS LÄN</t>
        </is>
      </c>
      <c r="G62" t="inlineStr">
        <is>
          <t>TROLLHÄTTAN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27652-2022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44743</v>
      </c>
      <c r="E63" s="1" t="n">
        <v>46220</v>
      </c>
      <c r="F63" t="inlineStr">
        <is>
          <t>VÄSTRA GÖTALANDS LÄN</t>
        </is>
      </c>
      <c r="G63" t="inlineStr">
        <is>
          <t>TROLLHÄTTAN</t>
        </is>
      </c>
      <c r="I63" t="n">
        <v>9.1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21979-2025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45784</v>
      </c>
      <c r="E64" s="1" t="n">
        <v>46220</v>
      </c>
      <c r="F64" t="inlineStr">
        <is>
          <t>VÄSTRA GÖTALANDS LÄN</t>
        </is>
      </c>
      <c r="G64" t="inlineStr">
        <is>
          <t>TROLLHÄTTAN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49062-2024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46220</v>
      </c>
      <c r="F65" t="inlineStr">
        <is>
          <t>VÄSTRA GÖTALANDS LÄN</t>
        </is>
      </c>
      <c r="G65" t="inlineStr">
        <is>
          <t>TROLLHÄTTAN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45519-2023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46220</v>
      </c>
      <c r="F66" t="inlineStr">
        <is>
          <t>VÄSTRA GÖTALANDS LÄN</t>
        </is>
      </c>
      <c r="G66" t="inlineStr">
        <is>
          <t>TROLLHÄTTAN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7628-2022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46220</v>
      </c>
      <c r="F67" t="inlineStr">
        <is>
          <t>VÄSTRA GÖTALANDS LÄN</t>
        </is>
      </c>
      <c r="G67" t="inlineStr">
        <is>
          <t>TROLLHÄTTAN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45812</v>
      </c>
      <c r="E68" s="1" t="n">
        <v>46220</v>
      </c>
      <c r="F68" t="inlineStr">
        <is>
          <t>VÄSTRA GÖTALANDS LÄN</t>
        </is>
      </c>
      <c r="G68" t="inlineStr">
        <is>
          <t>TROLLHÄTTAN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59879-2024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45640</v>
      </c>
      <c r="E69" s="1" t="n">
        <v>46220</v>
      </c>
      <c r="F69" t="inlineStr">
        <is>
          <t>VÄSTRA GÖTALANDS LÄN</t>
        </is>
      </c>
      <c r="G69" t="inlineStr">
        <is>
          <t>TROLLHÄTTAN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11991-2022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44635</v>
      </c>
      <c r="E70" s="1" t="n">
        <v>46220</v>
      </c>
      <c r="F70" t="inlineStr">
        <is>
          <t>VÄSTRA GÖTALANDS LÄN</t>
        </is>
      </c>
      <c r="G70" t="inlineStr">
        <is>
          <t>TROLLHÄTTAN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46220</v>
      </c>
      <c r="F71" t="inlineStr">
        <is>
          <t>VÄSTRA GÖTALANDS LÄN</t>
        </is>
      </c>
      <c r="G71" t="inlineStr">
        <is>
          <t>TROLLHÄTTAN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47902-2024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46220</v>
      </c>
      <c r="F72" t="inlineStr">
        <is>
          <t>VÄSTRA GÖTALANDS LÄN</t>
        </is>
      </c>
      <c r="G72" t="inlineStr">
        <is>
          <t>TROLLHÄTTAN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58330-2022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44901</v>
      </c>
      <c r="E73" s="1" t="n">
        <v>46220</v>
      </c>
      <c r="F73" t="inlineStr">
        <is>
          <t>VÄSTRA GÖTALANDS LÄN</t>
        </is>
      </c>
      <c r="G73" t="inlineStr">
        <is>
          <t>TROLLHÄTTAN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30486-2025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45829</v>
      </c>
      <c r="E74" s="1" t="n">
        <v>46220</v>
      </c>
      <c r="F74" t="inlineStr">
        <is>
          <t>VÄSTRA GÖTALANDS LÄN</t>
        </is>
      </c>
      <c r="G74" t="inlineStr">
        <is>
          <t>TROLLHÄTTAN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46220</v>
      </c>
      <c r="F75" t="inlineStr">
        <is>
          <t>VÄSTRA GÖTALANDS LÄN</t>
        </is>
      </c>
      <c r="G75" t="inlineStr">
        <is>
          <t>TROLLHÄTTAN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31464-2025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45833</v>
      </c>
      <c r="E76" s="1" t="n">
        <v>46220</v>
      </c>
      <c r="F76" t="inlineStr">
        <is>
          <t>VÄSTRA GÖTALANDS LÄN</t>
        </is>
      </c>
      <c r="G76" t="inlineStr">
        <is>
          <t>TROLLHÄTTAN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68454-2021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46220</v>
      </c>
      <c r="F77" t="inlineStr">
        <is>
          <t>VÄSTRA GÖTALANDS LÄN</t>
        </is>
      </c>
      <c r="G77" t="inlineStr">
        <is>
          <t>TROLLHÄTTAN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57259-2022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46220</v>
      </c>
      <c r="F78" t="inlineStr">
        <is>
          <t>VÄSTRA GÖTALANDS LÄN</t>
        </is>
      </c>
      <c r="G78" t="inlineStr">
        <is>
          <t>TROLLHÄTTAN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10777-2024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46220</v>
      </c>
      <c r="F79" t="inlineStr">
        <is>
          <t>VÄSTRA GÖTALANDS LÄN</t>
        </is>
      </c>
      <c r="G79" t="inlineStr">
        <is>
          <t>TROLLHÄTTAN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34671-2025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45847</v>
      </c>
      <c r="E80" s="1" t="n">
        <v>46220</v>
      </c>
      <c r="F80" t="inlineStr">
        <is>
          <t>VÄSTRA GÖTALANDS LÄN</t>
        </is>
      </c>
      <c r="G80" t="inlineStr">
        <is>
          <t>TROLLHÄTTAN</t>
        </is>
      </c>
      <c r="H80" t="inlineStr">
        <is>
          <t>Kyrkan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46220</v>
      </c>
      <c r="F81" t="inlineStr">
        <is>
          <t>VÄSTRA GÖTALANDS LÄN</t>
        </is>
      </c>
      <c r="G81" t="inlineStr">
        <is>
          <t>TROLLHÄTTAN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45721</v>
      </c>
      <c r="E82" s="1" t="n">
        <v>46220</v>
      </c>
      <c r="F82" t="inlineStr">
        <is>
          <t>VÄSTRA GÖTALANDS LÄN</t>
        </is>
      </c>
      <c r="G82" t="inlineStr">
        <is>
          <t>TROLLHÄTTAN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13510-2022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46220</v>
      </c>
      <c r="F83" t="inlineStr">
        <is>
          <t>VÄSTRA GÖTALANDS LÄN</t>
        </is>
      </c>
      <c r="G83" t="inlineStr">
        <is>
          <t>TROLLHÄTTAN</t>
        </is>
      </c>
      <c r="I83" t="n">
        <v>17.6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36192-2025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45867</v>
      </c>
      <c r="E84" s="1" t="n">
        <v>46220</v>
      </c>
      <c r="F84" t="inlineStr">
        <is>
          <t>VÄSTRA GÖTALANDS LÄN</t>
        </is>
      </c>
      <c r="G84" t="inlineStr">
        <is>
          <t>TROLLHÄTTAN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48788-2025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46220</v>
      </c>
      <c r="F85" t="inlineStr">
        <is>
          <t>VÄSTRA GÖTALANDS LÄN</t>
        </is>
      </c>
      <c r="G85" t="inlineStr">
        <is>
          <t>TROLLHÄTTAN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46220</v>
      </c>
      <c r="F86" t="inlineStr">
        <is>
          <t>VÄSTRA GÖTALANDS LÄN</t>
        </is>
      </c>
      <c r="G86" t="inlineStr">
        <is>
          <t>TROLLHÄTTAN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48790-2025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46220</v>
      </c>
      <c r="F87" t="inlineStr">
        <is>
          <t>VÄSTRA GÖTALANDS LÄN</t>
        </is>
      </c>
      <c r="G87" t="inlineStr">
        <is>
          <t>TROLLHÄTTAN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47708-2025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46220</v>
      </c>
      <c r="F88" t="inlineStr">
        <is>
          <t>VÄSTRA GÖTALANDS LÄN</t>
        </is>
      </c>
      <c r="G88" t="inlineStr">
        <is>
          <t>TROLLHÄTTAN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48787-2025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46220</v>
      </c>
      <c r="F89" t="inlineStr">
        <is>
          <t>VÄSTRA GÖTALANDS LÄN</t>
        </is>
      </c>
      <c r="G89" t="inlineStr">
        <is>
          <t>TROLLHÄTTAN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48791-2025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46220</v>
      </c>
      <c r="F90" t="inlineStr">
        <is>
          <t>VÄSTRA GÖTALANDS LÄN</t>
        </is>
      </c>
      <c r="G90" t="inlineStr">
        <is>
          <t>TROLLHÄTTAN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50209-2025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46220</v>
      </c>
      <c r="F91" t="inlineStr">
        <is>
          <t>VÄSTRA GÖTALANDS LÄN</t>
        </is>
      </c>
      <c r="G91" t="inlineStr">
        <is>
          <t>TROLLHÄTTAN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50337-2025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45944</v>
      </c>
      <c r="E92" s="1" t="n">
        <v>46220</v>
      </c>
      <c r="F92" t="inlineStr">
        <is>
          <t>VÄSTRA GÖTALANDS LÄN</t>
        </is>
      </c>
      <c r="G92" t="inlineStr">
        <is>
          <t>TROLLHÄTTAN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53227-2021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46220</v>
      </c>
      <c r="F93" t="inlineStr">
        <is>
          <t>VÄSTRA GÖTALANDS LÄN</t>
        </is>
      </c>
      <c r="G93" t="inlineStr">
        <is>
          <t>TROLLHÄTTAN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8273-2024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46220</v>
      </c>
      <c r="F94" t="inlineStr">
        <is>
          <t>VÄSTRA GÖTALANDS LÄN</t>
        </is>
      </c>
      <c r="G94" t="inlineStr">
        <is>
          <t>TROLLHÄTTAN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52688-2024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46220</v>
      </c>
      <c r="F95" t="inlineStr">
        <is>
          <t>VÄSTRA GÖTALANDS LÄN</t>
        </is>
      </c>
      <c r="G95" t="inlineStr">
        <is>
          <t>TROLLHÄTTAN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54526-2025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45965</v>
      </c>
      <c r="E96" s="1" t="n">
        <v>46220</v>
      </c>
      <c r="F96" t="inlineStr">
        <is>
          <t>VÄSTRA GÖTALANDS LÄN</t>
        </is>
      </c>
      <c r="G96" t="inlineStr">
        <is>
          <t>TROLLHÄTTAN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46529-2024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46220</v>
      </c>
      <c r="F97" t="inlineStr">
        <is>
          <t>VÄSTRA GÖTALANDS LÄN</t>
        </is>
      </c>
      <c r="G97" t="inlineStr">
        <is>
          <t>TROLLHÄTTAN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45294</v>
      </c>
      <c r="E98" s="1" t="n">
        <v>46220</v>
      </c>
      <c r="F98" t="inlineStr">
        <is>
          <t>VÄSTRA GÖTALANDS LÄN</t>
        </is>
      </c>
      <c r="G98" t="inlineStr">
        <is>
          <t>TROLLHÄTTAN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45659</v>
      </c>
      <c r="E99" s="1" t="n">
        <v>46220</v>
      </c>
      <c r="F99" t="inlineStr">
        <is>
          <t>VÄSTRA GÖTALANDS LÄN</t>
        </is>
      </c>
      <c r="G99" t="inlineStr">
        <is>
          <t>TROLLHÄTTAN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68400-2021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46220</v>
      </c>
      <c r="F100" t="inlineStr">
        <is>
          <t>VÄSTRA GÖTALANDS LÄN</t>
        </is>
      </c>
      <c r="G100" t="inlineStr">
        <is>
          <t>TROLLHÄTTAN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56523-2025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45975</v>
      </c>
      <c r="E101" s="1" t="n">
        <v>46220</v>
      </c>
      <c r="F101" t="inlineStr">
        <is>
          <t>VÄSTRA GÖTALANDS LÄN</t>
        </is>
      </c>
      <c r="G101" t="inlineStr">
        <is>
          <t>TROLLHÄTTAN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54087-2021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44470</v>
      </c>
      <c r="E102" s="1" t="n">
        <v>46220</v>
      </c>
      <c r="F102" t="inlineStr">
        <is>
          <t>VÄSTRA GÖTALANDS LÄN</t>
        </is>
      </c>
      <c r="G102" t="inlineStr">
        <is>
          <t>TROLLHÄTTAN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45979</v>
      </c>
      <c r="E103" s="1" t="n">
        <v>46220</v>
      </c>
      <c r="F103" t="inlineStr">
        <is>
          <t>VÄSTRA GÖTALANDS LÄN</t>
        </is>
      </c>
      <c r="G103" t="inlineStr">
        <is>
          <t>TROLLHÄTTAN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35465-2022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44798</v>
      </c>
      <c r="E104" s="1" t="n">
        <v>46220</v>
      </c>
      <c r="F104" t="inlineStr">
        <is>
          <t>VÄSTRA GÖTALANDS LÄN</t>
        </is>
      </c>
      <c r="G104" t="inlineStr">
        <is>
          <t>TROLLHÄTTAN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46220</v>
      </c>
      <c r="F105" t="inlineStr">
        <is>
          <t>VÄSTRA GÖTALANDS LÄN</t>
        </is>
      </c>
      <c r="G105" t="inlineStr">
        <is>
          <t>TROLLHÄTTAN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57886-2025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46220</v>
      </c>
      <c r="F106" t="inlineStr">
        <is>
          <t>VÄSTRA GÖTALANDS LÄN</t>
        </is>
      </c>
      <c r="G106" t="inlineStr">
        <is>
          <t>TROLLHÄTTAN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57891-2025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46220</v>
      </c>
      <c r="F107" t="inlineStr">
        <is>
          <t>VÄSTRA GÖTALANDS LÄN</t>
        </is>
      </c>
      <c r="G107" t="inlineStr">
        <is>
          <t>TROLLHÄTTAN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39116-2022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46220</v>
      </c>
      <c r="F108" t="inlineStr">
        <is>
          <t>VÄSTRA GÖTALANDS LÄN</t>
        </is>
      </c>
      <c r="G108" t="inlineStr">
        <is>
          <t>TROLLHÄTTAN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7655-2026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46220</v>
      </c>
      <c r="F109" t="inlineStr">
        <is>
          <t>VÄSTRA GÖTALANDS LÄN</t>
        </is>
      </c>
      <c r="G109" t="inlineStr">
        <is>
          <t>TROLLHÄTTAN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7659-2026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46220</v>
      </c>
      <c r="F110" t="inlineStr">
        <is>
          <t>VÄSTRA GÖTALANDS LÄN</t>
        </is>
      </c>
      <c r="G110" t="inlineStr">
        <is>
          <t>TROLLHÄTTAN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62266-2022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46220</v>
      </c>
      <c r="F111" t="inlineStr">
        <is>
          <t>VÄSTRA GÖTALANDS LÄN</t>
        </is>
      </c>
      <c r="G111" t="inlineStr">
        <is>
          <t>TROLLHÄTTAN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59252-2025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46220</v>
      </c>
      <c r="F112" t="inlineStr">
        <is>
          <t>VÄSTRA GÖTALANDS LÄN</t>
        </is>
      </c>
      <c r="G112" t="inlineStr">
        <is>
          <t>TROLLHÄTTAN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10767-2024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46220</v>
      </c>
      <c r="F113" t="inlineStr">
        <is>
          <t>VÄSTRA GÖTALANDS LÄN</t>
        </is>
      </c>
      <c r="G113" t="inlineStr">
        <is>
          <t>TROLLHÄTTAN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60505-2025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46220</v>
      </c>
      <c r="F114" t="inlineStr">
        <is>
          <t>VÄSTRA GÖTALANDS LÄN</t>
        </is>
      </c>
      <c r="G114" t="inlineStr">
        <is>
          <t>TROLLHÄTTAN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60103-2022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46220</v>
      </c>
      <c r="F115" t="inlineStr">
        <is>
          <t>VÄSTRA GÖTALANDS LÄN</t>
        </is>
      </c>
      <c r="G115" t="inlineStr">
        <is>
          <t>TROLLHÄTTAN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46220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46220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13515-2022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46220</v>
      </c>
      <c r="F118" t="inlineStr">
        <is>
          <t>VÄSTRA GÖTALANDS LÄN</t>
        </is>
      </c>
      <c r="G118" t="inlineStr">
        <is>
          <t>TROLLHÄTTAN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46220</v>
      </c>
      <c r="F119" t="inlineStr">
        <is>
          <t>VÄSTRA GÖTALANDS LÄN</t>
        </is>
      </c>
      <c r="G119" t="inlineStr">
        <is>
          <t>TROLLHÄTTAN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46220</v>
      </c>
      <c r="F120" t="inlineStr">
        <is>
          <t>VÄSTRA GÖTALANDS LÄN</t>
        </is>
      </c>
      <c r="G120" t="inlineStr">
        <is>
          <t>TROLLHÄTTAN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73158-2021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46220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13883-2022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44650</v>
      </c>
      <c r="E122" s="1" t="n">
        <v>46220</v>
      </c>
      <c r="F122" t="inlineStr">
        <is>
          <t>VÄSTRA GÖTALANDS LÄN</t>
        </is>
      </c>
      <c r="G122" t="inlineStr">
        <is>
          <t>TROLLHÄTTAN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32527-2024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45513</v>
      </c>
      <c r="E123" s="1" t="n">
        <v>46220</v>
      </c>
      <c r="F123" t="inlineStr">
        <is>
          <t>VÄSTRA GÖTALANDS LÄN</t>
        </is>
      </c>
      <c r="G123" t="inlineStr">
        <is>
          <t>TROLLHÄTTAN</t>
        </is>
      </c>
      <c r="H123" t="inlineStr">
        <is>
          <t>Kyrkan</t>
        </is>
      </c>
      <c r="I123" t="n">
        <v>8.699999999999999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59625-2023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46220</v>
      </c>
      <c r="F124" t="inlineStr">
        <is>
          <t>VÄSTRA GÖTALANDS LÄN</t>
        </is>
      </c>
      <c r="G124" t="inlineStr">
        <is>
          <t>TROLLHÄTTAN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32541-2024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46220</v>
      </c>
      <c r="F125" t="inlineStr">
        <is>
          <t>VÄSTRA GÖTALANDS LÄN</t>
        </is>
      </c>
      <c r="G125" t="inlineStr">
        <is>
          <t>TROLLHÄTTAN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15659-2025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46220</v>
      </c>
      <c r="F126" t="inlineStr">
        <is>
          <t>VÄSTRA GÖTALANDS LÄN</t>
        </is>
      </c>
      <c r="G126" t="inlineStr">
        <is>
          <t>TROLLHÄTTAN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16154-2024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45406</v>
      </c>
      <c r="E127" s="1" t="n">
        <v>46220</v>
      </c>
      <c r="F127" t="inlineStr">
        <is>
          <t>VÄSTRA GÖTALANDS LÄN</t>
        </is>
      </c>
      <c r="G127" t="inlineStr">
        <is>
          <t>TROLLHÄTTAN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16155-2024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46220</v>
      </c>
      <c r="F128" t="inlineStr">
        <is>
          <t>VÄSTRA GÖTALANDS LÄN</t>
        </is>
      </c>
      <c r="G128" t="inlineStr">
        <is>
          <t>TROLLHÄTTAN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14211-2026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46220</v>
      </c>
      <c r="F129" t="inlineStr">
        <is>
          <t>VÄSTRA GÖTALANDS LÄN</t>
        </is>
      </c>
      <c r="G129" t="inlineStr">
        <is>
          <t>TROLLHÄTTAN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35969-2024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46220</v>
      </c>
      <c r="F130" t="inlineStr">
        <is>
          <t>VÄSTRA GÖTALANDS LÄN</t>
        </is>
      </c>
      <c r="G130" t="inlineStr">
        <is>
          <t>TROLLHÄTTAN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15592-2026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46220</v>
      </c>
      <c r="F131" t="inlineStr">
        <is>
          <t>VÄSTRA GÖTALANDS LÄN</t>
        </is>
      </c>
      <c r="G131" t="inlineStr">
        <is>
          <t>TROLLHÄTTAN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16030-2026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46220</v>
      </c>
      <c r="F132" t="inlineStr">
        <is>
          <t>VÄSTRA GÖTALANDS LÄN</t>
        </is>
      </c>
      <c r="G132" t="inlineStr">
        <is>
          <t>TROLLHÄTTAN</t>
        </is>
      </c>
      <c r="I132" t="n">
        <v>15.8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41554-2024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46220</v>
      </c>
      <c r="F133" t="inlineStr">
        <is>
          <t>VÄSTRA GÖTALANDS LÄN</t>
        </is>
      </c>
      <c r="G133" t="inlineStr">
        <is>
          <t>TROLLHÄTTAN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45983-2024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46220</v>
      </c>
      <c r="F134" t="inlineStr">
        <is>
          <t>VÄSTRA GÖTALANDS LÄN</t>
        </is>
      </c>
      <c r="G134" t="inlineStr">
        <is>
          <t>TROLLHÄTTAN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32826-2022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44784</v>
      </c>
      <c r="E135" s="1" t="n">
        <v>46220</v>
      </c>
      <c r="F135" t="inlineStr">
        <is>
          <t>VÄSTRA GÖTALANDS LÄN</t>
        </is>
      </c>
      <c r="G135" t="inlineStr">
        <is>
          <t>TROLLHÄTTAN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44879</v>
      </c>
      <c r="E136" s="1" t="n">
        <v>46220</v>
      </c>
      <c r="F136" t="inlineStr">
        <is>
          <t>VÄSTRA GÖTALANDS LÄN</t>
        </is>
      </c>
      <c r="G136" t="inlineStr">
        <is>
          <t>TROLLHÄTTAN</t>
        </is>
      </c>
      <c r="I136" t="n">
        <v>13.2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17485-2026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46120</v>
      </c>
      <c r="E137" s="1" t="n">
        <v>46220</v>
      </c>
      <c r="F137" t="inlineStr">
        <is>
          <t>VÄSTRA GÖTALANDS LÄN</t>
        </is>
      </c>
      <c r="G137" t="inlineStr">
        <is>
          <t>TROLLHÄTTAN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13220-2022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44644</v>
      </c>
      <c r="E138" s="1" t="n">
        <v>46220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19447-2025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46220</v>
      </c>
      <c r="F139" t="inlineStr">
        <is>
          <t>VÄSTRA GÖTALANDS LÄN</t>
        </is>
      </c>
      <c r="G139" t="inlineStr">
        <is>
          <t>TROLLHÄTTAN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64669-2023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46220</v>
      </c>
      <c r="F140" t="inlineStr">
        <is>
          <t>VÄSTRA GÖTALANDS LÄN</t>
        </is>
      </c>
      <c r="G140" t="inlineStr">
        <is>
          <t>TROLLHÄTTAN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16473-2023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46220</v>
      </c>
      <c r="F141" t="inlineStr">
        <is>
          <t>VÄSTRA GÖTALANDS LÄN</t>
        </is>
      </c>
      <c r="G141" t="inlineStr">
        <is>
          <t>TROLLHÄTTAN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16475-2023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46220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53131-2022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46220</v>
      </c>
      <c r="F143" t="inlineStr">
        <is>
          <t>VÄSTRA GÖTALANDS LÄN</t>
        </is>
      </c>
      <c r="G143" t="inlineStr">
        <is>
          <t>TROLLHÄTTAN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18840-2026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46220</v>
      </c>
      <c r="F144" t="inlineStr">
        <is>
          <t>VÄSTRA GÖTALANDS LÄN</t>
        </is>
      </c>
      <c r="G144" t="inlineStr">
        <is>
          <t>TROLLHÄTTAN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43374-2021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44432</v>
      </c>
      <c r="E145" s="1" t="n">
        <v>46220</v>
      </c>
      <c r="F145" t="inlineStr">
        <is>
          <t>VÄSTRA GÖTALANDS LÄN</t>
        </is>
      </c>
      <c r="G145" t="inlineStr">
        <is>
          <t>TROLLHÄTTAN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64784-2023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46220</v>
      </c>
      <c r="F146" t="inlineStr">
        <is>
          <t>VÄSTRA GÖTALANDS LÄN</t>
        </is>
      </c>
      <c r="G146" t="inlineStr">
        <is>
          <t>TROLLHÄTTAN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19373-2026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46220</v>
      </c>
      <c r="F147" t="inlineStr">
        <is>
          <t>VÄSTRA GÖTALANDS LÄN</t>
        </is>
      </c>
      <c r="G147" t="inlineStr">
        <is>
          <t>TROLLHÄTTAN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3044-2022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44582</v>
      </c>
      <c r="E148" s="1" t="n">
        <v>46220</v>
      </c>
      <c r="F148" t="inlineStr">
        <is>
          <t>VÄSTRA GÖTALANDS LÄN</t>
        </is>
      </c>
      <c r="G148" t="inlineStr">
        <is>
          <t>TROLLHÄTTAN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15000-2023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46220</v>
      </c>
      <c r="F149" t="inlineStr">
        <is>
          <t>VÄSTRA GÖTALANDS LÄN</t>
        </is>
      </c>
      <c r="G149" t="inlineStr">
        <is>
          <t>TROLLHÄTTAN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46220</v>
      </c>
      <c r="F150" t="inlineStr">
        <is>
          <t>VÄSTRA GÖTALANDS LÄN</t>
        </is>
      </c>
      <c r="G150" t="inlineStr">
        <is>
          <t>TROLLHÄTTAN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46220</v>
      </c>
      <c r="F151" t="inlineStr">
        <is>
          <t>VÄSTRA GÖTALANDS LÄN</t>
        </is>
      </c>
      <c r="G151" t="inlineStr">
        <is>
          <t>TROLLHÄTTAN</t>
        </is>
      </c>
      <c r="I151" t="n">
        <v>15.4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61443-2022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44909</v>
      </c>
      <c r="E152" s="1" t="n">
        <v>46220</v>
      </c>
      <c r="F152" t="inlineStr">
        <is>
          <t>VÄSTRA GÖTALANDS LÄN</t>
        </is>
      </c>
      <c r="G152" t="inlineStr">
        <is>
          <t>TROLLHÄTTAN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19781-2025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46220</v>
      </c>
      <c r="F153" t="inlineStr">
        <is>
          <t>VÄSTRA GÖTALANDS LÄN</t>
        </is>
      </c>
      <c r="G153" t="inlineStr">
        <is>
          <t>TROLLHÄTTAN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23451-2023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46220</v>
      </c>
      <c r="F154" t="inlineStr">
        <is>
          <t>VÄSTRA GÖTALANDS LÄN</t>
        </is>
      </c>
      <c r="G154" t="inlineStr">
        <is>
          <t>TROLLHÄTTAN</t>
        </is>
      </c>
      <c r="H154" t="inlineStr">
        <is>
          <t>Kommuner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45679</v>
      </c>
      <c r="E155" s="1" t="n">
        <v>46220</v>
      </c>
      <c r="F155" t="inlineStr">
        <is>
          <t>VÄSTRA GÖTALANDS LÄN</t>
        </is>
      </c>
      <c r="G155" t="inlineStr">
        <is>
          <t>TROLLHÄTTAN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60498-2024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46220</v>
      </c>
      <c r="F156" t="inlineStr">
        <is>
          <t>VÄSTRA GÖTALANDS LÄN</t>
        </is>
      </c>
      <c r="G156" t="inlineStr">
        <is>
          <t>TROLLHÄTTAN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44598</v>
      </c>
      <c r="E157" s="1" t="n">
        <v>46220</v>
      </c>
      <c r="F157" t="inlineStr">
        <is>
          <t>VÄSTRA GÖTALANDS LÄN</t>
        </is>
      </c>
      <c r="G157" t="inlineStr">
        <is>
          <t>TROLLHÄTTAN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46220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46220</v>
      </c>
      <c r="F159" t="inlineStr">
        <is>
          <t>VÄSTRA GÖTALANDS LÄN</t>
        </is>
      </c>
      <c r="G159" t="inlineStr">
        <is>
          <t>TROLLHÄTTAN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20152-2026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46138</v>
      </c>
      <c r="E160" s="1" t="n">
        <v>46220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46220</v>
      </c>
      <c r="F161" t="inlineStr">
        <is>
          <t>VÄSTRA GÖTALANDS LÄN</t>
        </is>
      </c>
      <c r="G161" t="inlineStr">
        <is>
          <t>TROLLHÄTTAN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57918-2022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46220</v>
      </c>
      <c r="F162" t="inlineStr">
        <is>
          <t>VÄSTRA GÖTALANDS LÄN</t>
        </is>
      </c>
      <c r="G162" t="inlineStr">
        <is>
          <t>TROLLHÄTTAN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46220</v>
      </c>
      <c r="F163" t="inlineStr">
        <is>
          <t>VÄSTRA GÖTALANDS LÄN</t>
        </is>
      </c>
      <c r="G163" t="inlineStr">
        <is>
          <t>TROLLHÄTTAN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7921-2024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46220</v>
      </c>
      <c r="F164" t="inlineStr">
        <is>
          <t>VÄSTRA GÖTALANDS LÄN</t>
        </is>
      </c>
      <c r="G164" t="inlineStr">
        <is>
          <t>TROLLHÄTTAN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45496</v>
      </c>
      <c r="E165" s="1" t="n">
        <v>46220</v>
      </c>
      <c r="F165" t="inlineStr">
        <is>
          <t>VÄSTRA GÖTALANDS LÄN</t>
        </is>
      </c>
      <c r="G165" t="inlineStr">
        <is>
          <t>TROLLHÄTTAN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45521-2022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46220</v>
      </c>
      <c r="F166" t="inlineStr">
        <is>
          <t>VÄSTRA GÖTALANDS LÄN</t>
        </is>
      </c>
      <c r="G166" t="inlineStr">
        <is>
          <t>TROLLHÄTTAN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17126-2022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44677</v>
      </c>
      <c r="E167" s="1" t="n">
        <v>46220</v>
      </c>
      <c r="F167" t="inlineStr">
        <is>
          <t>VÄSTRA GÖTALANDS LÄN</t>
        </is>
      </c>
      <c r="G167" t="inlineStr">
        <is>
          <t>TROLLHÄTTAN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28224-2023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46220</v>
      </c>
      <c r="F168" t="inlineStr">
        <is>
          <t>VÄSTRA GÖTALANDS LÄN</t>
        </is>
      </c>
      <c r="G168" t="inlineStr">
        <is>
          <t>TROLLHÄTTAN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46220</v>
      </c>
      <c r="F169" t="inlineStr">
        <is>
          <t>VÄSTRA GÖTALANDS LÄN</t>
        </is>
      </c>
      <c r="G169" t="inlineStr">
        <is>
          <t>TROLLHÄTTAN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56116-2022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46220</v>
      </c>
      <c r="F170" t="inlineStr">
        <is>
          <t>VÄSTRA GÖTALANDS LÄN</t>
        </is>
      </c>
      <c r="G170" t="inlineStr">
        <is>
          <t>TROLLHÄTTAN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40896-2022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46220</v>
      </c>
      <c r="F171" t="inlineStr">
        <is>
          <t>VÄSTRA GÖTALANDS LÄN</t>
        </is>
      </c>
      <c r="G171" t="inlineStr">
        <is>
          <t>TROLLHÄTTAN</t>
        </is>
      </c>
      <c r="I171" t="n">
        <v>11.3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12329-2024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45378</v>
      </c>
      <c r="E172" s="1" t="n">
        <v>46220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37371-2023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46220</v>
      </c>
      <c r="F173" t="inlineStr">
        <is>
          <t>VÄSTRA GÖTALANDS LÄN</t>
        </is>
      </c>
      <c r="G173" t="inlineStr">
        <is>
          <t>TROLLHÄTTAN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20500-2026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46220</v>
      </c>
      <c r="F174" t="inlineStr">
        <is>
          <t>VÄSTRA GÖTALANDS LÄN</t>
        </is>
      </c>
      <c r="G174" t="inlineStr">
        <is>
          <t>TROLLHÄTTAN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46220</v>
      </c>
      <c r="F175" t="inlineStr">
        <is>
          <t>VÄSTRA GÖTALANDS LÄN</t>
        </is>
      </c>
      <c r="G175" t="inlineStr">
        <is>
          <t>TROLLHÄTTAN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20667-2026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46220</v>
      </c>
      <c r="F176" t="inlineStr">
        <is>
          <t>VÄSTRA GÖTALANDS LÄN</t>
        </is>
      </c>
      <c r="G176" t="inlineStr">
        <is>
          <t>TROLLHÄTTAN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46220</v>
      </c>
      <c r="F177" t="inlineStr">
        <is>
          <t>VÄSTRA GÖTALANDS LÄN</t>
        </is>
      </c>
      <c r="G177" t="inlineStr">
        <is>
          <t>TROLLHÄTTAN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20501-2026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46220</v>
      </c>
      <c r="F178" t="inlineStr">
        <is>
          <t>VÄSTRA GÖTALANDS LÄN</t>
        </is>
      </c>
      <c r="G178" t="inlineStr">
        <is>
          <t>TROLLHÄTTAN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10494-2022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46220</v>
      </c>
      <c r="F179" t="inlineStr">
        <is>
          <t>VÄSTRA GÖTALANDS LÄN</t>
        </is>
      </c>
      <c r="G179" t="inlineStr">
        <is>
          <t>TROLLHÄTTAN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46364-2024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46220</v>
      </c>
      <c r="F180" t="inlineStr">
        <is>
          <t>VÄSTRA GÖTALANDS LÄN</t>
        </is>
      </c>
      <c r="G180" t="inlineStr">
        <is>
          <t>TROLLHÄTTAN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33546-2022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44789</v>
      </c>
      <c r="E181" s="1" t="n">
        <v>46220</v>
      </c>
      <c r="F181" t="inlineStr">
        <is>
          <t>VÄSTRA GÖTALANDS LÄN</t>
        </is>
      </c>
      <c r="G181" t="inlineStr">
        <is>
          <t>TROLLHÄTTAN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9821-2022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44620</v>
      </c>
      <c r="E182" s="1" t="n">
        <v>46220</v>
      </c>
      <c r="F182" t="inlineStr">
        <is>
          <t>VÄSTRA GÖTALANDS LÄN</t>
        </is>
      </c>
      <c r="G182" t="inlineStr">
        <is>
          <t>TROLLHÄTTAN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38941-2023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46220</v>
      </c>
      <c r="F183" t="inlineStr">
        <is>
          <t>VÄSTRA GÖTALANDS LÄN</t>
        </is>
      </c>
      <c r="G183" t="inlineStr">
        <is>
          <t>TROLLHÄTTAN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27441-2026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46189</v>
      </c>
      <c r="E184" s="1" t="n">
        <v>46220</v>
      </c>
      <c r="F184" t="inlineStr">
        <is>
          <t>VÄSTRA GÖTALANDS LÄN</t>
        </is>
      </c>
      <c r="G184" t="inlineStr">
        <is>
          <t>TROLLHÄTTAN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49781-2024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45597</v>
      </c>
      <c r="E185" s="1" t="n">
        <v>46220</v>
      </c>
      <c r="F185" t="inlineStr">
        <is>
          <t>VÄSTRA GÖTALANDS LÄN</t>
        </is>
      </c>
      <c r="G185" t="inlineStr">
        <is>
          <t>TROLLHÄTTAN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27586-2026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46190</v>
      </c>
      <c r="E186" s="1" t="n">
        <v>46220</v>
      </c>
      <c r="F186" t="inlineStr">
        <is>
          <t>VÄSTRA GÖTALANDS LÄN</t>
        </is>
      </c>
      <c r="G186" t="inlineStr">
        <is>
          <t>TROLLHÄTTAN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61046-2024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46220</v>
      </c>
      <c r="F187" t="inlineStr">
        <is>
          <t>VÄSTRA GÖTALANDS LÄN</t>
        </is>
      </c>
      <c r="G187" t="inlineStr">
        <is>
          <t>TROLLHÄTTAN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46220</v>
      </c>
      <c r="F188" t="inlineStr">
        <is>
          <t>VÄSTRA GÖTALANDS LÄN</t>
        </is>
      </c>
      <c r="G188" t="inlineStr">
        <is>
          <t>TROLLHÄTTAN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22207-2026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46220</v>
      </c>
      <c r="F189" t="inlineStr">
        <is>
          <t>VÄSTRA GÖTALANDS LÄN</t>
        </is>
      </c>
      <c r="G189" t="inlineStr">
        <is>
          <t>TROLLHÄTTAN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21929-2026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46220</v>
      </c>
      <c r="F190" t="inlineStr">
        <is>
          <t>VÄSTRA GÖTALANDS LÄN</t>
        </is>
      </c>
      <c r="G190" t="inlineStr">
        <is>
          <t>TROLLHÄTTAN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42456-2024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45565</v>
      </c>
      <c r="E191" s="1" t="n">
        <v>46220</v>
      </c>
      <c r="F191" t="inlineStr">
        <is>
          <t>VÄSTRA GÖTALANDS LÄN</t>
        </is>
      </c>
      <c r="G191" t="inlineStr">
        <is>
          <t>TROLLHÄTTAN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22620-2026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46220</v>
      </c>
      <c r="F192" t="inlineStr">
        <is>
          <t>VÄSTRA GÖTALANDS LÄN</t>
        </is>
      </c>
      <c r="G192" t="inlineStr">
        <is>
          <t>TROLLHÄTTAN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30796-2024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45497</v>
      </c>
      <c r="E193" s="1" t="n">
        <v>46220</v>
      </c>
      <c r="F193" t="inlineStr">
        <is>
          <t>VÄSTRA GÖTALANDS LÄN</t>
        </is>
      </c>
      <c r="G193" t="inlineStr">
        <is>
          <t>TROLLHÄTTAN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16152-2024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46220</v>
      </c>
      <c r="F194" t="inlineStr">
        <is>
          <t>VÄSTRA GÖTALANDS LÄN</t>
        </is>
      </c>
      <c r="G194" t="inlineStr">
        <is>
          <t>TROLLHÄTTAN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46220</v>
      </c>
      <c r="F195" t="inlineStr">
        <is>
          <t>VÄSTRA GÖTALANDS LÄN</t>
        </is>
      </c>
      <c r="G195" t="inlineStr">
        <is>
          <t>TROLLHÄTTAN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46220</v>
      </c>
      <c r="F196" t="inlineStr">
        <is>
          <t>VÄSTRA GÖTALANDS LÄN</t>
        </is>
      </c>
      <c r="G196" t="inlineStr">
        <is>
          <t>TROLLHÄTTAN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44923</v>
      </c>
      <c r="E197" s="1" t="n">
        <v>46220</v>
      </c>
      <c r="F197" t="inlineStr">
        <is>
          <t>VÄSTRA GÖTALANDS LÄN</t>
        </is>
      </c>
      <c r="G197" t="inlineStr">
        <is>
          <t>TROLLHÄTTAN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46220</v>
      </c>
      <c r="F198" t="inlineStr">
        <is>
          <t>VÄSTRA GÖTALANDS LÄN</t>
        </is>
      </c>
      <c r="G198" t="inlineStr">
        <is>
          <t>TROLLHÄTTAN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55303-2022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46220</v>
      </c>
      <c r="F199" t="inlineStr">
        <is>
          <t>VÄSTRA GÖTALANDS LÄN</t>
        </is>
      </c>
      <c r="G199" t="inlineStr">
        <is>
          <t>TROLLHÄTTAN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46220</v>
      </c>
      <c r="F200" t="inlineStr">
        <is>
          <t>VÄSTRA GÖTALANDS LÄN</t>
        </is>
      </c>
      <c r="G200" t="inlineStr">
        <is>
          <t>TROLLHÄTTAN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44931</v>
      </c>
      <c r="E201" s="1" t="n">
        <v>46220</v>
      </c>
      <c r="F201" t="inlineStr">
        <is>
          <t>VÄSTRA GÖTALANDS LÄN</t>
        </is>
      </c>
      <c r="G201" t="inlineStr">
        <is>
          <t>TROLLHÄTTAN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21363-2023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46220</v>
      </c>
      <c r="F202" t="inlineStr">
        <is>
          <t>VÄSTRA GÖTALANDS LÄN</t>
        </is>
      </c>
      <c r="G202" t="inlineStr">
        <is>
          <t>TROLLHÄTTAN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10858-2026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46220</v>
      </c>
      <c r="F203" t="inlineStr">
        <is>
          <t>VÄSTRA GÖTALANDS LÄN</t>
        </is>
      </c>
      <c r="G203" t="inlineStr">
        <is>
          <t>TROLLHÄTTAN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45652</v>
      </c>
      <c r="E204" s="1" t="n">
        <v>46220</v>
      </c>
      <c r="F204" t="inlineStr">
        <is>
          <t>VÄSTRA GÖTALANDS LÄN</t>
        </is>
      </c>
      <c r="G204" t="inlineStr">
        <is>
          <t>TROLLHÄTTAN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30505-2026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46220</v>
      </c>
      <c r="F205" t="inlineStr">
        <is>
          <t>VÄSTRA GÖTALANDS LÄN</t>
        </is>
      </c>
      <c r="G205" t="inlineStr">
        <is>
          <t>TROLLHÄTTAN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19773-2025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46220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45318</v>
      </c>
      <c r="E207" s="1" t="n">
        <v>46220</v>
      </c>
      <c r="F207" t="inlineStr">
        <is>
          <t>VÄSTRA GÖTALANDS LÄN</t>
        </is>
      </c>
      <c r="G207" t="inlineStr">
        <is>
          <t>TROLLHÄTTAN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44708-2023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45190</v>
      </c>
      <c r="E208" s="1" t="n">
        <v>46220</v>
      </c>
      <c r="F208" t="inlineStr">
        <is>
          <t>VÄSTRA GÖTALANDS LÄN</t>
        </is>
      </c>
      <c r="G208" t="inlineStr">
        <is>
          <t>TROLLHÄTTAN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25514-2022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44732</v>
      </c>
      <c r="E209" s="1" t="n">
        <v>46220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12967-2024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46220</v>
      </c>
      <c r="F210" t="inlineStr">
        <is>
          <t>VÄSTRA GÖTALANDS LÄN</t>
        </is>
      </c>
      <c r="G210" t="inlineStr">
        <is>
          <t>TROLLHÄTTAN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24432-2022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44726</v>
      </c>
      <c r="E211" s="1" t="n">
        <v>46220</v>
      </c>
      <c r="F211" t="inlineStr">
        <is>
          <t>VÄSTRA GÖTALANDS LÄN</t>
        </is>
      </c>
      <c r="G211" t="inlineStr">
        <is>
          <t>TROLLHÄTTAN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37658-2022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46220</v>
      </c>
      <c r="F212" t="inlineStr">
        <is>
          <t>VÄSTRA GÖTALANDS LÄN</t>
        </is>
      </c>
      <c r="G212" t="inlineStr">
        <is>
          <t>TROLLHÄTTAN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15658-2025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46220</v>
      </c>
      <c r="F213" t="inlineStr">
        <is>
          <t>VÄSTRA GÖTALANDS LÄN</t>
        </is>
      </c>
      <c r="G213" t="inlineStr">
        <is>
          <t>TROLLHÄTTAN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66960-2021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46220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40864-2021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44421</v>
      </c>
      <c r="E215" s="1" t="n">
        <v>46220</v>
      </c>
      <c r="F215" t="inlineStr">
        <is>
          <t>VÄSTRA GÖTALANDS LÄN</t>
        </is>
      </c>
      <c r="G215" t="inlineStr">
        <is>
          <t>TROLLHÄTTAN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37305-2022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44808</v>
      </c>
      <c r="E216" s="1" t="n">
        <v>46220</v>
      </c>
      <c r="F216" t="inlineStr">
        <is>
          <t>VÄSTRA GÖTALANDS LÄN</t>
        </is>
      </c>
      <c r="G216" t="inlineStr">
        <is>
          <t>TROLLHÄTTAN</t>
        </is>
      </c>
      <c r="I216" t="n">
        <v>9.9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53193-2023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46220</v>
      </c>
      <c r="F217" t="inlineStr">
        <is>
          <t>VÄSTRA GÖTALANDS LÄN</t>
        </is>
      </c>
      <c r="G217" t="inlineStr">
        <is>
          <t>TROLLHÄTTAN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20955-2025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45777</v>
      </c>
      <c r="E218" s="1" t="n">
        <v>46220</v>
      </c>
      <c r="F218" t="inlineStr">
        <is>
          <t>VÄSTRA GÖTALANDS LÄN</t>
        </is>
      </c>
      <c r="G218" t="inlineStr">
        <is>
          <t>TROLLHÄTTAN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22016-2025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46220</v>
      </c>
      <c r="F219" t="inlineStr">
        <is>
          <t>VÄSTRA GÖTALANDS LÄN</t>
        </is>
      </c>
      <c r="G219" t="inlineStr">
        <is>
          <t>TROLLHÄTTAN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46220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2026-07-17T01:41:37Z</dcterms:created>
  <dcterms:modified xmlns:dcterms="http://purl.org/dc/terms/" xmlns:xsi="http://www.w3.org/2001/XMLSchema-instance" xsi:type="dcterms:W3CDTF">2026-07-17T01:41:37Z</dcterms:modified>
</cp:coreProperties>
</file>