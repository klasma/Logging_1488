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68519-2021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44529</v>
      </c>
      <c r="E2" s="1" t="n">
        <v>46308</v>
      </c>
      <c r="F2" t="inlineStr">
        <is>
          <t>VÄSTRA GÖTALANDS LÄN</t>
        </is>
      </c>
      <c r="G2" t="inlineStr">
        <is>
          <t>TROLLHÄTTAN</t>
        </is>
      </c>
      <c r="I2" t="n">
        <v>16.6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2</v>
      </c>
      <c r="R2" t="n">
        <v>2</v>
      </c>
      <c r="S2" t="n">
        <v>7</v>
      </c>
      <c r="T2" t="n">
        <v>8</v>
      </c>
      <c r="U2" t="n">
        <v>7</v>
      </c>
      <c r="V2" s="2" t="inlineStr">
        <is>
          <t>Ask
Ryl
Spindelblomster
Mattlummer
Grönvit nattviol
Lopplummer (aggregat)
Revlummer</t>
        </is>
      </c>
      <c r="W2">
        <f>HYPERLINK("https://klasma.github.io/Logging_1488/artfynd/A 68519-2021 artfynd.xlsx", "A 68519-2021")</f>
        <v/>
      </c>
      <c r="X2">
        <f>HYPERLINK("https://klasma.github.io/Logging_1488/kartor/A 68519-2021 karta.png", "A 68519-2021")</f>
        <v/>
      </c>
      <c r="Y2">
        <f>HYPERLINK("https://klasma.github.io/Logging_1488/kartor_geotiff/A 68519-2021 georefererad karta.tif", "A 68519-2021")</f>
        <v/>
      </c>
      <c r="AA2">
        <f>HYPERLINK("https://klasma.github.io/Logging_1488/klagomål/A 68519-2021 FSC-klagomål.docx", "A 68519-2021")</f>
        <v/>
      </c>
      <c r="AB2">
        <f>HYPERLINK("https://klasma.github.io/Logging_1488/klagomålsmail/A 68519-2021 FSC-klagomål mail.docx", "A 68519-2021")</f>
        <v/>
      </c>
      <c r="AC2">
        <f>HYPERLINK("https://klasma.github.io/Logging_1488/tillsyn/A 68519-2021 tillsynsbegäran.docx", "A 68519-2021")</f>
        <v/>
      </c>
      <c r="AD2">
        <f>HYPERLINK("https://klasma.github.io/Logging_1488/tillsynsmail/A 68519-2021 tillsynsbegäran mail.docx", "A 68519-2021")</f>
        <v/>
      </c>
    </row>
    <row r="3" ht="15" customHeight="1">
      <c r="A3" t="inlineStr">
        <is>
          <t>A 5767-2023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44963</v>
      </c>
      <c r="E3" s="1" t="n">
        <v>46308</v>
      </c>
      <c r="F3" t="inlineStr">
        <is>
          <t>VÄSTRA GÖTALANDS LÄN</t>
        </is>
      </c>
      <c r="G3" t="inlineStr">
        <is>
          <t>TROLLHÄTTAN</t>
        </is>
      </c>
      <c r="I3" t="n">
        <v>2.8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3</v>
      </c>
      <c r="U3" t="n">
        <v>3</v>
      </c>
      <c r="V3" s="2" t="inlineStr">
        <is>
          <t>Tjäder
Havsörn
Trana</t>
        </is>
      </c>
      <c r="W3">
        <f>HYPERLINK("https://klasma.github.io/Logging_1488/artfynd/A 5767-2023 artfynd.xlsx", "A 5767-2023")</f>
        <v/>
      </c>
      <c r="X3">
        <f>HYPERLINK("https://klasma.github.io/Logging_1488/kartor/A 5767-2023 karta.png", "A 5767-2023")</f>
        <v/>
      </c>
      <c r="Y3">
        <f>HYPERLINK("https://klasma.github.io/Logging_1488/kartor_geotiff/A 5767-2023 georefererad karta.tif", "A 5767-2023")</f>
        <v/>
      </c>
      <c r="AA3">
        <f>HYPERLINK("https://klasma.github.io/Logging_1488/klagomål/A 5767-2023 FSC-klagomål.docx", "A 5767-2023")</f>
        <v/>
      </c>
      <c r="AB3">
        <f>HYPERLINK("https://klasma.github.io/Logging_1488/klagomålsmail/A 5767-2023 FSC-klagomål mail.docx", "A 5767-2023")</f>
        <v/>
      </c>
      <c r="AC3">
        <f>HYPERLINK("https://klasma.github.io/Logging_1488/tillsyn/A 5767-2023 tillsynsbegäran.docx", "A 5767-2023")</f>
        <v/>
      </c>
      <c r="AD3">
        <f>HYPERLINK("https://klasma.github.io/Logging_1488/tillsynsmail/A 5767-2023 tillsynsbegäran mail.docx", "A 5767-2023")</f>
        <v/>
      </c>
      <c r="AE3">
        <f>HYPERLINK("https://klasma.github.io/Logging_1488/fåglar/A 5767-2023 prioriterade fågelarter.docx", "A 5767-2023")</f>
        <v/>
      </c>
    </row>
    <row r="4" ht="15" customHeight="1">
      <c r="A4" t="inlineStr">
        <is>
          <t>A 15069-2026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46104</v>
      </c>
      <c r="E4" s="1" t="n">
        <v>46308</v>
      </c>
      <c r="F4" t="inlineStr">
        <is>
          <t>VÄSTRA GÖTALANDS LÄN</t>
        </is>
      </c>
      <c r="G4" t="inlineStr">
        <is>
          <t>TROLLHÄTTAN</t>
        </is>
      </c>
      <c r="I4" t="n">
        <v>8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2</v>
      </c>
      <c r="U4" t="n">
        <v>0</v>
      </c>
      <c r="V4" s="2" t="inlineStr">
        <is>
          <t>Kortskaftad parasitspik
Rostfläck</t>
        </is>
      </c>
      <c r="W4">
        <f>HYPERLINK("https://klasma.github.io/Logging_1488/artfynd/A 15069-2026 artfynd.xlsx", "A 15069-2026")</f>
        <v/>
      </c>
      <c r="X4">
        <f>HYPERLINK("https://klasma.github.io/Logging_1488/kartor/A 15069-2026 karta.png", "A 15069-2026")</f>
        <v/>
      </c>
      <c r="Y4">
        <f>HYPERLINK("https://klasma.github.io/Logging_1488/kartor_geotiff/A 15069-2026 georefererad karta.tif", "A 15069-2026")</f>
        <v/>
      </c>
      <c r="AA4">
        <f>HYPERLINK("https://klasma.github.io/Logging_1488/klagomål/A 15069-2026 FSC-klagomål.docx", "A 15069-2026")</f>
        <v/>
      </c>
      <c r="AB4">
        <f>HYPERLINK("https://klasma.github.io/Logging_1488/klagomålsmail/A 15069-2026 FSC-klagomål mail.docx", "A 15069-2026")</f>
        <v/>
      </c>
      <c r="AC4">
        <f>HYPERLINK("https://klasma.github.io/Logging_1488/tillsyn/A 15069-2026 tillsynsbegäran.docx", "A 15069-2026")</f>
        <v/>
      </c>
      <c r="AD4">
        <f>HYPERLINK("https://klasma.github.io/Logging_1488/tillsynsmail/A 15069-2026 tillsynsbegäran mail.docx", "A 15069-2026")</f>
        <v/>
      </c>
    </row>
    <row r="5" ht="15" customHeight="1">
      <c r="A5" t="inlineStr">
        <is>
          <t>A 13131-2024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45386</v>
      </c>
      <c r="E5" s="1" t="n">
        <v>46308</v>
      </c>
      <c r="F5" t="inlineStr">
        <is>
          <t>VÄSTRA GÖTALANDS LÄN</t>
        </is>
      </c>
      <c r="G5" t="inlineStr">
        <is>
          <t>TROLLHÄTTAN</t>
        </is>
      </c>
      <c r="H5" t="inlineStr">
        <is>
          <t>Kommuner</t>
        </is>
      </c>
      <c r="I5" t="n">
        <v>5.9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2</v>
      </c>
      <c r="T5" t="n">
        <v>2</v>
      </c>
      <c r="U5" t="n">
        <v>0</v>
      </c>
      <c r="V5" s="2" t="inlineStr">
        <is>
          <t>Svinrot
Blåsippa</t>
        </is>
      </c>
      <c r="W5">
        <f>HYPERLINK("https://klasma.github.io/Logging_1488/artfynd/A 13131-2024 artfynd.xlsx", "A 13131-2024")</f>
        <v/>
      </c>
      <c r="X5">
        <f>HYPERLINK("https://klasma.github.io/Logging_1488/kartor/A 13131-2024 karta.png", "A 13131-2024")</f>
        <v/>
      </c>
      <c r="Y5">
        <f>HYPERLINK("https://klasma.github.io/Logging_1488/kartor_geotiff/A 13131-2024 georefererad karta.tif", "A 13131-2024")</f>
        <v/>
      </c>
      <c r="AA5">
        <f>HYPERLINK("https://klasma.github.io/Logging_1488/klagomål/A 13131-2024 FSC-klagomål.docx", "A 13131-2024")</f>
        <v/>
      </c>
      <c r="AB5">
        <f>HYPERLINK("https://klasma.github.io/Logging_1488/klagomålsmail/A 13131-2024 FSC-klagomål mail.docx", "A 13131-2024")</f>
        <v/>
      </c>
      <c r="AC5">
        <f>HYPERLINK("https://klasma.github.io/Logging_1488/tillsyn/A 13131-2024 tillsynsbegäran.docx", "A 13131-2024")</f>
        <v/>
      </c>
      <c r="AD5">
        <f>HYPERLINK("https://klasma.github.io/Logging_1488/tillsynsmail/A 13131-2024 tillsynsbegäran mail.docx", "A 13131-2024")</f>
        <v/>
      </c>
    </row>
    <row r="6" ht="15" customHeight="1">
      <c r="A6" t="inlineStr">
        <is>
          <t>A 18264-2022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44685</v>
      </c>
      <c r="E6" s="1" t="n">
        <v>46308</v>
      </c>
      <c r="F6" t="inlineStr">
        <is>
          <t>VÄSTRA GÖTALANDS LÄN</t>
        </is>
      </c>
      <c r="G6" t="inlineStr">
        <is>
          <t>TROLLHÄTTAN</t>
        </is>
      </c>
      <c r="I6" t="n">
        <v>16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s="2" t="inlineStr">
        <is>
          <t>Knärot</t>
        </is>
      </c>
      <c r="W6">
        <f>HYPERLINK("https://klasma.github.io/Logging_1488/artfynd/A 18264-2022 artfynd.xlsx", "A 18264-2022")</f>
        <v/>
      </c>
      <c r="X6">
        <f>HYPERLINK("https://klasma.github.io/Logging_1488/kartor/A 18264-2022 karta.png", "A 18264-2022")</f>
        <v/>
      </c>
      <c r="Y6">
        <f>HYPERLINK("https://klasma.github.io/Logging_1488/kartor_geotiff/A 18264-2022 georefererad karta.tif", "A 18264-2022")</f>
        <v/>
      </c>
      <c r="Z6">
        <f>HYPERLINK("https://klasma.github.io/Logging_1488/knärot/A 18264-2022 karta knärot.png", "A 18264-2022")</f>
        <v/>
      </c>
      <c r="AA6">
        <f>HYPERLINK("https://klasma.github.io/Logging_1488/klagomål/A 18264-2022 FSC-klagomål.docx", "A 18264-2022")</f>
        <v/>
      </c>
      <c r="AB6">
        <f>HYPERLINK("https://klasma.github.io/Logging_1488/klagomålsmail/A 18264-2022 FSC-klagomål mail.docx", "A 18264-2022")</f>
        <v/>
      </c>
      <c r="AC6">
        <f>HYPERLINK("https://klasma.github.io/Logging_1488/tillsyn/A 18264-2022 tillsynsbegäran.docx", "A 18264-2022")</f>
        <v/>
      </c>
      <c r="AD6">
        <f>HYPERLINK("https://klasma.github.io/Logging_1488/tillsynsmail/A 18264-2022 tillsynsbegäran mail.docx", "A 18264-2022")</f>
        <v/>
      </c>
    </row>
    <row r="7" ht="15" customHeight="1">
      <c r="A7" t="inlineStr">
        <is>
          <t>A 38026-2026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46280</v>
      </c>
      <c r="E7" s="1" t="n">
        <v>46308</v>
      </c>
      <c r="F7" t="inlineStr">
        <is>
          <t>VÄSTRA GÖTALANDS LÄN</t>
        </is>
      </c>
      <c r="G7" t="inlineStr">
        <is>
          <t>TROLLHÄTTAN</t>
        </is>
      </c>
      <c r="I7" t="n">
        <v>9.199999999999999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s="2" t="inlineStr">
        <is>
          <t>Kungsfågel</t>
        </is>
      </c>
      <c r="W7">
        <f>HYPERLINK("https://klasma.github.io/Logging_1488/artfynd/A 38026-2026 artfynd.xlsx", "A 38026-2026")</f>
        <v/>
      </c>
      <c r="X7">
        <f>HYPERLINK("https://klasma.github.io/Logging_1488/kartor/A 38026-2026 karta.png", "A 38026-2026")</f>
        <v/>
      </c>
      <c r="Y7">
        <f>HYPERLINK("https://klasma.github.io/Logging_1488/kartor_geotiff/A 38026-2026 georefererad karta.tif", "A 38026-2026")</f>
        <v/>
      </c>
      <c r="AA7">
        <f>HYPERLINK("https://klasma.github.io/Logging_1488/klagomål/A 38026-2026 FSC-klagomål.docx", "A 38026-2026")</f>
        <v/>
      </c>
      <c r="AB7">
        <f>HYPERLINK("https://klasma.github.io/Logging_1488/klagomålsmail/A 38026-2026 FSC-klagomål mail.docx", "A 38026-2026")</f>
        <v/>
      </c>
      <c r="AC7">
        <f>HYPERLINK("https://klasma.github.io/Logging_1488/tillsyn/A 38026-2026 tillsynsbegäran.docx", "A 38026-2026")</f>
        <v/>
      </c>
      <c r="AD7">
        <f>HYPERLINK("https://klasma.github.io/Logging_1488/tillsynsmail/A 38026-2026 tillsynsbegäran mail.docx", "A 38026-2026")</f>
        <v/>
      </c>
    </row>
    <row r="8" ht="15" customHeight="1">
      <c r="A8" t="inlineStr">
        <is>
          <t>A 23175-2023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45075</v>
      </c>
      <c r="E8" s="1" t="n">
        <v>46308</v>
      </c>
      <c r="F8" t="inlineStr">
        <is>
          <t>VÄSTRA GÖTALANDS LÄN</t>
        </is>
      </c>
      <c r="G8" t="inlineStr">
        <is>
          <t>TROLLHÄTTAN</t>
        </is>
      </c>
      <c r="I8" t="n">
        <v>2.7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s="2" t="inlineStr">
        <is>
          <t>Igelkott</t>
        </is>
      </c>
      <c r="W8">
        <f>HYPERLINK("https://klasma.github.io/Logging_1488/artfynd/A 23175-2023 artfynd.xlsx", "A 23175-2023")</f>
        <v/>
      </c>
      <c r="X8">
        <f>HYPERLINK("https://klasma.github.io/Logging_1488/kartor/A 23175-2023 karta.png", "A 23175-2023")</f>
        <v/>
      </c>
      <c r="Y8">
        <f>HYPERLINK("https://klasma.github.io/Logging_1488/kartor_geotiff/A 23175-2023 georefererad karta.tif", "A 23175-2023")</f>
        <v/>
      </c>
      <c r="AA8">
        <f>HYPERLINK("https://klasma.github.io/Logging_1488/klagomål/A 23175-2023 FSC-klagomål.docx", "A 23175-2023")</f>
        <v/>
      </c>
      <c r="AB8">
        <f>HYPERLINK("https://klasma.github.io/Logging_1488/klagomålsmail/A 23175-2023 FSC-klagomål mail.docx", "A 23175-2023")</f>
        <v/>
      </c>
      <c r="AC8">
        <f>HYPERLINK("https://klasma.github.io/Logging_1488/tillsyn/A 23175-2023 tillsynsbegäran.docx", "A 23175-2023")</f>
        <v/>
      </c>
      <c r="AD8">
        <f>HYPERLINK("https://klasma.github.io/Logging_1488/tillsynsmail/A 23175-2023 tillsynsbegäran mail.docx", "A 23175-2023")</f>
        <v/>
      </c>
    </row>
    <row r="9" ht="15" customHeight="1">
      <c r="A9" t="inlineStr">
        <is>
          <t>A 2460-2022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44579</v>
      </c>
      <c r="E9" s="1" t="n">
        <v>46308</v>
      </c>
      <c r="F9" t="inlineStr">
        <is>
          <t>VÄSTRA GÖTALANDS LÄN</t>
        </is>
      </c>
      <c r="G9" t="inlineStr">
        <is>
          <t>TROLLHÄTTAN</t>
        </is>
      </c>
      <c r="I9" t="n">
        <v>6.1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Rostfläck</t>
        </is>
      </c>
      <c r="W9">
        <f>HYPERLINK("https://klasma.github.io/Logging_1488/artfynd/A 2460-2022 artfynd.xlsx", "A 2460-2022")</f>
        <v/>
      </c>
      <c r="X9">
        <f>HYPERLINK("https://klasma.github.io/Logging_1488/kartor/A 2460-2022 karta.png", "A 2460-2022")</f>
        <v/>
      </c>
      <c r="Y9">
        <f>HYPERLINK("https://klasma.github.io/Logging_1488/kartor_geotiff/A 2460-2022 georefererad karta.tif", "A 2460-2022")</f>
        <v/>
      </c>
      <c r="AA9">
        <f>HYPERLINK("https://klasma.github.io/Logging_1488/klagomål/A 2460-2022 FSC-klagomål.docx", "A 2460-2022")</f>
        <v/>
      </c>
      <c r="AB9">
        <f>HYPERLINK("https://klasma.github.io/Logging_1488/klagomålsmail/A 2460-2022 FSC-klagomål mail.docx", "A 2460-2022")</f>
        <v/>
      </c>
      <c r="AC9">
        <f>HYPERLINK("https://klasma.github.io/Logging_1488/tillsyn/A 2460-2022 tillsynsbegäran.docx", "A 2460-2022")</f>
        <v/>
      </c>
      <c r="AD9">
        <f>HYPERLINK("https://klasma.github.io/Logging_1488/tillsynsmail/A 2460-2022 tillsynsbegäran mail.docx", "A 2460-2022")</f>
        <v/>
      </c>
    </row>
    <row r="10" ht="15" customHeight="1">
      <c r="A10" t="inlineStr">
        <is>
          <t>A 53134-2022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44876</v>
      </c>
      <c r="E10" s="1" t="n">
        <v>46308</v>
      </c>
      <c r="F10" t="inlineStr">
        <is>
          <t>VÄSTRA GÖTALANDS LÄN</t>
        </is>
      </c>
      <c r="G10" t="inlineStr">
        <is>
          <t>TROLLHÄTTAN</t>
        </is>
      </c>
      <c r="I10" t="n">
        <v>0.6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5234-2022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44594</v>
      </c>
      <c r="E11" s="1" t="n">
        <v>46308</v>
      </c>
      <c r="F11" t="inlineStr">
        <is>
          <t>VÄSTRA GÖTALANDS LÄN</t>
        </is>
      </c>
      <c r="G11" t="inlineStr">
        <is>
          <t>TROLLHÄTTAN</t>
        </is>
      </c>
      <c r="I11" t="n">
        <v>0.4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1296-2022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44572</v>
      </c>
      <c r="E12" s="1" t="n">
        <v>46308</v>
      </c>
      <c r="F12" t="inlineStr">
        <is>
          <t>VÄSTRA GÖTALANDS LÄN</t>
        </is>
      </c>
      <c r="G12" t="inlineStr">
        <is>
          <t>TROLLHÄTTAN</t>
        </is>
      </c>
      <c r="I12" t="n">
        <v>0.8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20737-2022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44701</v>
      </c>
      <c r="E13" s="1" t="n">
        <v>46308</v>
      </c>
      <c r="F13" t="inlineStr">
        <is>
          <t>VÄSTRA GÖTALANDS LÄN</t>
        </is>
      </c>
      <c r="G13" t="inlineStr">
        <is>
          <t>TROLLHÄTTAN</t>
        </is>
      </c>
      <c r="I13" t="n">
        <v>1.9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55480-2022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44887</v>
      </c>
      <c r="E14" s="1" t="n">
        <v>46308</v>
      </c>
      <c r="F14" t="inlineStr">
        <is>
          <t>VÄSTRA GÖTALANDS LÄN</t>
        </is>
      </c>
      <c r="G14" t="inlineStr">
        <is>
          <t>TROLLHÄTTAN</t>
        </is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6591-2022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44601</v>
      </c>
      <c r="E15" s="1" t="n">
        <v>46308</v>
      </c>
      <c r="F15" t="inlineStr">
        <is>
          <t>VÄSTRA GÖTALANDS LÄN</t>
        </is>
      </c>
      <c r="G15" t="inlineStr">
        <is>
          <t>TROLLHÄTTAN</t>
        </is>
      </c>
      <c r="I15" t="n">
        <v>9.800000000000001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33547-2022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44789</v>
      </c>
      <c r="E16" s="1" t="n">
        <v>46308</v>
      </c>
      <c r="F16" t="inlineStr">
        <is>
          <t>VÄSTRA GÖTALANDS LÄN</t>
        </is>
      </c>
      <c r="G16" t="inlineStr">
        <is>
          <t>TROLLHÄTTAN</t>
        </is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17194-2022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44677</v>
      </c>
      <c r="E17" s="1" t="n">
        <v>46308</v>
      </c>
      <c r="F17" t="inlineStr">
        <is>
          <t>VÄSTRA GÖTALANDS LÄN</t>
        </is>
      </c>
      <c r="G17" t="inlineStr">
        <is>
          <t>TROLLHÄTTAN</t>
        </is>
      </c>
      <c r="I17" t="n">
        <v>2.9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7747-2022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44608</v>
      </c>
      <c r="E18" s="1" t="n">
        <v>46308</v>
      </c>
      <c r="F18" t="inlineStr">
        <is>
          <t>VÄSTRA GÖTALANDS LÄN</t>
        </is>
      </c>
      <c r="G18" t="inlineStr">
        <is>
          <t>TROLLHÄTTAN</t>
        </is>
      </c>
      <c r="I18" t="n">
        <v>0.7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10150-2022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44622</v>
      </c>
      <c r="E19" s="1" t="n">
        <v>46308</v>
      </c>
      <c r="F19" t="inlineStr">
        <is>
          <t>VÄSTRA GÖTALANDS LÄN</t>
        </is>
      </c>
      <c r="G19" t="inlineStr">
        <is>
          <t>TROLLHÄTTAN</t>
        </is>
      </c>
      <c r="I19" t="n">
        <v>1.5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38000-2022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44811</v>
      </c>
      <c r="E20" s="1" t="n">
        <v>46308</v>
      </c>
      <c r="F20" t="inlineStr">
        <is>
          <t>VÄSTRA GÖTALANDS LÄN</t>
        </is>
      </c>
      <c r="G20" t="inlineStr">
        <is>
          <t>TROLLHÄTTAN</t>
        </is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18533-2022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44686</v>
      </c>
      <c r="E21" s="1" t="n">
        <v>46308</v>
      </c>
      <c r="F21" t="inlineStr">
        <is>
          <t>VÄSTRA GÖTALANDS LÄN</t>
        </is>
      </c>
      <c r="G21" t="inlineStr">
        <is>
          <t>TROLLHÄTTAN</t>
        </is>
      </c>
      <c r="I21" t="n">
        <v>2.5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30157-2022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44757</v>
      </c>
      <c r="E22" s="1" t="n">
        <v>46308</v>
      </c>
      <c r="F22" t="inlineStr">
        <is>
          <t>VÄSTRA GÖTALANDS LÄN</t>
        </is>
      </c>
      <c r="G22" t="inlineStr">
        <is>
          <t>TROLLHÄTTAN</t>
        </is>
      </c>
      <c r="I22" t="n">
        <v>4.3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19577-2022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44693</v>
      </c>
      <c r="E23" s="1" t="n">
        <v>46308</v>
      </c>
      <c r="F23" t="inlineStr">
        <is>
          <t>VÄSTRA GÖTALANDS LÄN</t>
        </is>
      </c>
      <c r="G23" t="inlineStr">
        <is>
          <t>TROLLHÄTTAN</t>
        </is>
      </c>
      <c r="I23" t="n">
        <v>1.4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67535-2021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44524</v>
      </c>
      <c r="E24" s="1" t="n">
        <v>46308</v>
      </c>
      <c r="F24" t="inlineStr">
        <is>
          <t>VÄSTRA GÖTALANDS LÄN</t>
        </is>
      </c>
      <c r="G24" t="inlineStr">
        <is>
          <t>TROLLHÄTTAN</t>
        </is>
      </c>
      <c r="H24" t="inlineStr">
        <is>
          <t>Kyrkan</t>
        </is>
      </c>
      <c r="I24" t="n">
        <v>2.9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66971-2021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44522</v>
      </c>
      <c r="E25" s="1" t="n">
        <v>46308</v>
      </c>
      <c r="F25" t="inlineStr">
        <is>
          <t>VÄSTRA GÖTALANDS LÄN</t>
        </is>
      </c>
      <c r="G25" t="inlineStr">
        <is>
          <t>TROLLHÄTTAN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318-2022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44565</v>
      </c>
      <c r="E26" s="1" t="n">
        <v>46308</v>
      </c>
      <c r="F26" t="inlineStr">
        <is>
          <t>VÄSTRA GÖTALANDS LÄN</t>
        </is>
      </c>
      <c r="G26" t="inlineStr">
        <is>
          <t>TROLLHÄTTAN</t>
        </is>
      </c>
      <c r="I26" t="n">
        <v>8.6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1295-2022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44572</v>
      </c>
      <c r="E27" s="1" t="n">
        <v>46308</v>
      </c>
      <c r="F27" t="inlineStr">
        <is>
          <t>VÄSTRA GÖTALANDS LÄN</t>
        </is>
      </c>
      <c r="G27" t="inlineStr">
        <is>
          <t>TROLLHÄTTAN</t>
        </is>
      </c>
      <c r="I27" t="n">
        <v>1.7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11460-2024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45372</v>
      </c>
      <c r="E28" s="1" t="n">
        <v>46308</v>
      </c>
      <c r="F28" t="inlineStr">
        <is>
          <t>VÄSTRA GÖTALANDS LÄN</t>
        </is>
      </c>
      <c r="G28" t="inlineStr">
        <is>
          <t>TROLLHÄTTAN</t>
        </is>
      </c>
      <c r="I28" t="n">
        <v>5.3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15648-2025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45748</v>
      </c>
      <c r="E29" s="1" t="n">
        <v>46308</v>
      </c>
      <c r="F29" t="inlineStr">
        <is>
          <t>VÄSTRA GÖTALANDS LÄN</t>
        </is>
      </c>
      <c r="G29" t="inlineStr">
        <is>
          <t>TROLLHÄTTAN</t>
        </is>
      </c>
      <c r="I29" t="n">
        <v>2.2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24127-2024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45456</v>
      </c>
      <c r="E30" s="1" t="n">
        <v>46308</v>
      </c>
      <c r="F30" t="inlineStr">
        <is>
          <t>VÄSTRA GÖTALANDS LÄN</t>
        </is>
      </c>
      <c r="G30" t="inlineStr">
        <is>
          <t>TROLLHÄTTAN</t>
        </is>
      </c>
      <c r="I30" t="n">
        <v>1.8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23984-2024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45456</v>
      </c>
      <c r="E31" s="1" t="n">
        <v>46308</v>
      </c>
      <c r="F31" t="inlineStr">
        <is>
          <t>VÄSTRA GÖTALANDS LÄN</t>
        </is>
      </c>
      <c r="G31" t="inlineStr">
        <is>
          <t>TROLLHÄTTAN</t>
        </is>
      </c>
      <c r="I31" t="n">
        <v>1.3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21979-2025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45784</v>
      </c>
      <c r="E32" s="1" t="n">
        <v>46308</v>
      </c>
      <c r="F32" t="inlineStr">
        <is>
          <t>VÄSTRA GÖTALANDS LÄN</t>
        </is>
      </c>
      <c r="G32" t="inlineStr">
        <is>
          <t>TROLLHÄTTAN</t>
        </is>
      </c>
      <c r="I32" t="n">
        <v>1.4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55303-2022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44887</v>
      </c>
      <c r="E33" s="1" t="n">
        <v>46308</v>
      </c>
      <c r="F33" t="inlineStr">
        <is>
          <t>VÄSTRA GÖTALANDS LÄN</t>
        </is>
      </c>
      <c r="G33" t="inlineStr">
        <is>
          <t>TROLLHÄTTAN</t>
        </is>
      </c>
      <c r="I33" t="n">
        <v>1.5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36982-2024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45539</v>
      </c>
      <c r="E34" s="1" t="n">
        <v>46308</v>
      </c>
      <c r="F34" t="inlineStr">
        <is>
          <t>VÄSTRA GÖTALANDS LÄN</t>
        </is>
      </c>
      <c r="G34" t="inlineStr">
        <is>
          <t>TROLLHÄTTAN</t>
        </is>
      </c>
      <c r="I34" t="n">
        <v>3.4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855-2023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44931</v>
      </c>
      <c r="E35" s="1" t="n">
        <v>46308</v>
      </c>
      <c r="F35" t="inlineStr">
        <is>
          <t>VÄSTRA GÖTALANDS LÄN</t>
        </is>
      </c>
      <c r="G35" t="inlineStr">
        <is>
          <t>TROLLHÄTTAN</t>
        </is>
      </c>
      <c r="I35" t="n">
        <v>3.1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21363-2023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45063</v>
      </c>
      <c r="E36" s="1" t="n">
        <v>46308</v>
      </c>
      <c r="F36" t="inlineStr">
        <is>
          <t>VÄSTRA GÖTALANDS LÄN</t>
        </is>
      </c>
      <c r="G36" t="inlineStr">
        <is>
          <t>TROLLHÄTTAN</t>
        </is>
      </c>
      <c r="I36" t="n">
        <v>4.2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61884-2024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45652</v>
      </c>
      <c r="E37" s="1" t="n">
        <v>46308</v>
      </c>
      <c r="F37" t="inlineStr">
        <is>
          <t>VÄSTRA GÖTALANDS LÄN</t>
        </is>
      </c>
      <c r="G37" t="inlineStr">
        <is>
          <t>TROLLHÄTTAN</t>
        </is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62294-2022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44923</v>
      </c>
      <c r="E38" s="1" t="n">
        <v>46308</v>
      </c>
      <c r="F38" t="inlineStr">
        <is>
          <t>VÄSTRA GÖTALANDS LÄN</t>
        </is>
      </c>
      <c r="G38" t="inlineStr">
        <is>
          <t>TROLLHÄTTAN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12264-2024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45378</v>
      </c>
      <c r="E39" s="1" t="n">
        <v>46308</v>
      </c>
      <c r="F39" t="inlineStr">
        <is>
          <t>VÄSTRA GÖTALANDS LÄN</t>
        </is>
      </c>
      <c r="G39" t="inlineStr">
        <is>
          <t>TROLLHÄTTAN</t>
        </is>
      </c>
      <c r="I39" t="n">
        <v>1.5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12266-2024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45378</v>
      </c>
      <c r="E40" s="1" t="n">
        <v>46308</v>
      </c>
      <c r="F40" t="inlineStr">
        <is>
          <t>VÄSTRA GÖTALANDS LÄN</t>
        </is>
      </c>
      <c r="G40" t="inlineStr">
        <is>
          <t>TROLLHÄTTAN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6354-2025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45699</v>
      </c>
      <c r="E41" s="1" t="n">
        <v>46308</v>
      </c>
      <c r="F41" t="inlineStr">
        <is>
          <t>VÄSTRA GÖTALANDS LÄN</t>
        </is>
      </c>
      <c r="G41" t="inlineStr">
        <is>
          <t>TROLLHÄTTAN</t>
        </is>
      </c>
      <c r="I41" t="n">
        <v>19.3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19773-2025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45771</v>
      </c>
      <c r="E42" s="1" t="n">
        <v>46308</v>
      </c>
      <c r="F42" t="inlineStr">
        <is>
          <t>VÄSTRA GÖTALANDS LÄN</t>
        </is>
      </c>
      <c r="G42" t="inlineStr">
        <is>
          <t>TROLLHÄTTAN</t>
        </is>
      </c>
      <c r="I42" t="n">
        <v>1.3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3399-2024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45318</v>
      </c>
      <c r="E43" s="1" t="n">
        <v>46308</v>
      </c>
      <c r="F43" t="inlineStr">
        <is>
          <t>VÄSTRA GÖTALANDS LÄN</t>
        </is>
      </c>
      <c r="G43" t="inlineStr">
        <is>
          <t>TROLLHÄTTAN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44708-2023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45190</v>
      </c>
      <c r="E44" s="1" t="n">
        <v>46308</v>
      </c>
      <c r="F44" t="inlineStr">
        <is>
          <t>VÄSTRA GÖTALANDS LÄN</t>
        </is>
      </c>
      <c r="G44" t="inlineStr">
        <is>
          <t>TROLLHÄTTAN</t>
        </is>
      </c>
      <c r="I44" t="n">
        <v>3.6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25514-2022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44732</v>
      </c>
      <c r="E45" s="1" t="n">
        <v>46308</v>
      </c>
      <c r="F45" t="inlineStr">
        <is>
          <t>VÄSTRA GÖTALANDS LÄN</t>
        </is>
      </c>
      <c r="G45" t="inlineStr">
        <is>
          <t>TROLLHÄTTAN</t>
        </is>
      </c>
      <c r="I45" t="n">
        <v>1.5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12967-2024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45385</v>
      </c>
      <c r="E46" s="1" t="n">
        <v>46308</v>
      </c>
      <c r="F46" t="inlineStr">
        <is>
          <t>VÄSTRA GÖTALANDS LÄN</t>
        </is>
      </c>
      <c r="G46" t="inlineStr">
        <is>
          <t>TROLLHÄTTAN</t>
        </is>
      </c>
      <c r="I46" t="n">
        <v>1.2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24432-2022</t>
        </is>
      </c>
      <c r="B47" t="inlineStr">
        <is>
          <t>avverkningsanmälan</t>
        </is>
      </c>
      <c r="C47" t="inlineStr">
        <is>
          <t>Avverkning för att bevara och utveckla /försöksver</t>
        </is>
      </c>
      <c r="D47" s="1" t="n">
        <v>44726</v>
      </c>
      <c r="E47" s="1" t="n">
        <v>46308</v>
      </c>
      <c r="F47" t="inlineStr">
        <is>
          <t>VÄSTRA GÖTALANDS LÄN</t>
        </is>
      </c>
      <c r="G47" t="inlineStr">
        <is>
          <t>TROLLHÄTTAN</t>
        </is>
      </c>
      <c r="I47" t="n">
        <v>1.3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48788-2025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45937</v>
      </c>
      <c r="E48" s="1" t="n">
        <v>46308</v>
      </c>
      <c r="F48" t="inlineStr">
        <is>
          <t>VÄSTRA GÖTALANDS LÄN</t>
        </is>
      </c>
      <c r="G48" t="inlineStr">
        <is>
          <t>TROLLHÄTTAN</t>
        </is>
      </c>
      <c r="I48" t="n">
        <v>4.5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48790-2025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45937</v>
      </c>
      <c r="E49" s="1" t="n">
        <v>46308</v>
      </c>
      <c r="F49" t="inlineStr">
        <is>
          <t>VÄSTRA GÖTALANDS LÄN</t>
        </is>
      </c>
      <c r="G49" t="inlineStr">
        <is>
          <t>TROLLHÄTTAN</t>
        </is>
      </c>
      <c r="I49" t="n">
        <v>1.7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47708-2025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45931</v>
      </c>
      <c r="E50" s="1" t="n">
        <v>46308</v>
      </c>
      <c r="F50" t="inlineStr">
        <is>
          <t>VÄSTRA GÖTALANDS LÄN</t>
        </is>
      </c>
      <c r="G50" t="inlineStr">
        <is>
          <t>TROLLHÄTTAN</t>
        </is>
      </c>
      <c r="I50" t="n">
        <v>4.9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48787-2025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45937</v>
      </c>
      <c r="E51" s="1" t="n">
        <v>46308</v>
      </c>
      <c r="F51" t="inlineStr">
        <is>
          <t>VÄSTRA GÖTALANDS LÄN</t>
        </is>
      </c>
      <c r="G51" t="inlineStr">
        <is>
          <t>TROLLHÄTTAN</t>
        </is>
      </c>
      <c r="I51" t="n">
        <v>3.6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48791-2025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45937</v>
      </c>
      <c r="E52" s="1" t="n">
        <v>46308</v>
      </c>
      <c r="F52" t="inlineStr">
        <is>
          <t>VÄSTRA GÖTALANDS LÄN</t>
        </is>
      </c>
      <c r="G52" t="inlineStr">
        <is>
          <t>TROLLHÄTTAN</t>
        </is>
      </c>
      <c r="I52" t="n">
        <v>1.7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50209-2025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45943</v>
      </c>
      <c r="E53" s="1" t="n">
        <v>46308</v>
      </c>
      <c r="F53" t="inlineStr">
        <is>
          <t>VÄSTRA GÖTALANDS LÄN</t>
        </is>
      </c>
      <c r="G53" t="inlineStr">
        <is>
          <t>TROLLHÄTTAN</t>
        </is>
      </c>
      <c r="I53" t="n">
        <v>2.5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50337-2025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45944</v>
      </c>
      <c r="E54" s="1" t="n">
        <v>46308</v>
      </c>
      <c r="F54" t="inlineStr">
        <is>
          <t>VÄSTRA GÖTALANDS LÄN</t>
        </is>
      </c>
      <c r="G54" t="inlineStr">
        <is>
          <t>TROLLHÄTTAN</t>
        </is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27441-2026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46189</v>
      </c>
      <c r="E55" s="1" t="n">
        <v>46308</v>
      </c>
      <c r="F55" t="inlineStr">
        <is>
          <t>VÄSTRA GÖTALANDS LÄN</t>
        </is>
      </c>
      <c r="G55" t="inlineStr">
        <is>
          <t>TROLLHÄTTAN</t>
        </is>
      </c>
      <c r="I55" t="n">
        <v>1.2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37658-2022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44810</v>
      </c>
      <c r="E56" s="1" t="n">
        <v>46308</v>
      </c>
      <c r="F56" t="inlineStr">
        <is>
          <t>VÄSTRA GÖTALANDS LÄN</t>
        </is>
      </c>
      <c r="G56" t="inlineStr">
        <is>
          <t>TROLLHÄTTAN</t>
        </is>
      </c>
      <c r="I56" t="n">
        <v>1.3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27586-2026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46190</v>
      </c>
      <c r="E57" s="1" t="n">
        <v>46308</v>
      </c>
      <c r="F57" t="inlineStr">
        <is>
          <t>VÄSTRA GÖTALANDS LÄN</t>
        </is>
      </c>
      <c r="G57" t="inlineStr">
        <is>
          <t>TROLLHÄTTAN</t>
        </is>
      </c>
      <c r="I57" t="n">
        <v>0.9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15658-2025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45748</v>
      </c>
      <c r="E58" s="1" t="n">
        <v>46308</v>
      </c>
      <c r="F58" t="inlineStr">
        <is>
          <t>VÄSTRA GÖTALANDS LÄN</t>
        </is>
      </c>
      <c r="G58" t="inlineStr">
        <is>
          <t>TROLLHÄTTAN</t>
        </is>
      </c>
      <c r="I58" t="n">
        <v>0.6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66960-2021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44522</v>
      </c>
      <c r="E59" s="1" t="n">
        <v>46308</v>
      </c>
      <c r="F59" t="inlineStr">
        <is>
          <t>VÄSTRA GÖTALANDS LÄN</t>
        </is>
      </c>
      <c r="G59" t="inlineStr">
        <is>
          <t>TROLLHÄTTAN</t>
        </is>
      </c>
      <c r="I59" t="n">
        <v>1.2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3886-2025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45684</v>
      </c>
      <c r="E60" s="1" t="n">
        <v>46308</v>
      </c>
      <c r="F60" t="inlineStr">
        <is>
          <t>VÄSTRA GÖTALANDS LÄN</t>
        </is>
      </c>
      <c r="G60" t="inlineStr">
        <is>
          <t>TROLLHÄTTAN</t>
        </is>
      </c>
      <c r="H60" t="inlineStr">
        <is>
          <t>Kommuner</t>
        </is>
      </c>
      <c r="I60" t="n">
        <v>0.6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37305-2022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44808</v>
      </c>
      <c r="E61" s="1" t="n">
        <v>46308</v>
      </c>
      <c r="F61" t="inlineStr">
        <is>
          <t>VÄSTRA GÖTALANDS LÄN</t>
        </is>
      </c>
      <c r="G61" t="inlineStr">
        <is>
          <t>TROLLHÄTTAN</t>
        </is>
      </c>
      <c r="I61" t="n">
        <v>9.9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53193-2023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45229</v>
      </c>
      <c r="E62" s="1" t="n">
        <v>46308</v>
      </c>
      <c r="F62" t="inlineStr">
        <is>
          <t>VÄSTRA GÖTALANDS LÄN</t>
        </is>
      </c>
      <c r="G62" t="inlineStr">
        <is>
          <t>TROLLHÄTTAN</t>
        </is>
      </c>
      <c r="I62" t="n">
        <v>0.7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20955-2025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45777</v>
      </c>
      <c r="E63" s="1" t="n">
        <v>46308</v>
      </c>
      <c r="F63" t="inlineStr">
        <is>
          <t>VÄSTRA GÖTALANDS LÄN</t>
        </is>
      </c>
      <c r="G63" t="inlineStr">
        <is>
          <t>TROLLHÄTTAN</t>
        </is>
      </c>
      <c r="I63" t="n">
        <v>1.2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54526-2025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45965</v>
      </c>
      <c r="E64" s="1" t="n">
        <v>46308</v>
      </c>
      <c r="F64" t="inlineStr">
        <is>
          <t>VÄSTRA GÖTALANDS LÄN</t>
        </is>
      </c>
      <c r="G64" t="inlineStr">
        <is>
          <t>TROLLHÄTTAN</t>
        </is>
      </c>
      <c r="I64" t="n">
        <v>4.5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22016-2025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45784</v>
      </c>
      <c r="E65" s="1" t="n">
        <v>46308</v>
      </c>
      <c r="F65" t="inlineStr">
        <is>
          <t>VÄSTRA GÖTALANDS LÄN</t>
        </is>
      </c>
      <c r="G65" t="inlineStr">
        <is>
          <t>TROLLHÄTTAN</t>
        </is>
      </c>
      <c r="I65" t="n">
        <v>2.1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56523-2025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45975</v>
      </c>
      <c r="E66" s="1" t="n">
        <v>46308</v>
      </c>
      <c r="F66" t="inlineStr">
        <is>
          <t>VÄSTRA GÖTALANDS LÄN</t>
        </is>
      </c>
      <c r="G66" t="inlineStr">
        <is>
          <t>TROLLHÄTTAN</t>
        </is>
      </c>
      <c r="I66" t="n">
        <v>1.9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18612-2025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45763</v>
      </c>
      <c r="E67" s="1" t="n">
        <v>46308</v>
      </c>
      <c r="F67" t="inlineStr">
        <is>
          <t>VÄSTRA GÖTALANDS LÄN</t>
        </is>
      </c>
      <c r="G67" t="inlineStr">
        <is>
          <t>TROLLHÄTTAN</t>
        </is>
      </c>
      <c r="I67" t="n">
        <v>2.5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57262-2025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45979</v>
      </c>
      <c r="E68" s="1" t="n">
        <v>46308</v>
      </c>
      <c r="F68" t="inlineStr">
        <is>
          <t>VÄSTRA GÖTALANDS LÄN</t>
        </is>
      </c>
      <c r="G68" t="inlineStr">
        <is>
          <t>TROLLHÄTTAN</t>
        </is>
      </c>
      <c r="I68" t="n">
        <v>3.9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30505-2026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46210</v>
      </c>
      <c r="E69" s="1" t="n">
        <v>46308</v>
      </c>
      <c r="F69" t="inlineStr">
        <is>
          <t>VÄSTRA GÖTALANDS LÄN</t>
        </is>
      </c>
      <c r="G69" t="inlineStr">
        <is>
          <t>TROLLHÄTTAN</t>
        </is>
      </c>
      <c r="I69" t="n">
        <v>3.8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57890-2025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45981</v>
      </c>
      <c r="E70" s="1" t="n">
        <v>46308</v>
      </c>
      <c r="F70" t="inlineStr">
        <is>
          <t>VÄSTRA GÖTALANDS LÄN</t>
        </is>
      </c>
      <c r="G70" t="inlineStr">
        <is>
          <t>TROLLHÄTTAN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57886-2025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45981</v>
      </c>
      <c r="E71" s="1" t="n">
        <v>46308</v>
      </c>
      <c r="F71" t="inlineStr">
        <is>
          <t>VÄSTRA GÖTALANDS LÄN</t>
        </is>
      </c>
      <c r="G71" t="inlineStr">
        <is>
          <t>TROLLHÄTTAN</t>
        </is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57891-2025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45981</v>
      </c>
      <c r="E72" s="1" t="n">
        <v>46308</v>
      </c>
      <c r="F72" t="inlineStr">
        <is>
          <t>VÄSTRA GÖTALANDS LÄN</t>
        </is>
      </c>
      <c r="G72" t="inlineStr">
        <is>
          <t>TROLLHÄTTAN</t>
        </is>
      </c>
      <c r="I72" t="n">
        <v>0.8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65254-2021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44515</v>
      </c>
      <c r="E73" s="1" t="n">
        <v>46308</v>
      </c>
      <c r="F73" t="inlineStr">
        <is>
          <t>VÄSTRA GÖTALANDS LÄN</t>
        </is>
      </c>
      <c r="G73" t="inlineStr">
        <is>
          <t>TROLLHÄTTAN</t>
        </is>
      </c>
      <c r="I73" t="n">
        <v>6.4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39611-2022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44818</v>
      </c>
      <c r="E74" s="1" t="n">
        <v>46308</v>
      </c>
      <c r="F74" t="inlineStr">
        <is>
          <t>VÄSTRA GÖTALANDS LÄN</t>
        </is>
      </c>
      <c r="G74" t="inlineStr">
        <is>
          <t>TROLLHÄTTAN</t>
        </is>
      </c>
      <c r="H74" t="inlineStr">
        <is>
          <t>Kommuner</t>
        </is>
      </c>
      <c r="I74" t="n">
        <v>1.3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37801-2024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45543</v>
      </c>
      <c r="E75" s="1" t="n">
        <v>46308</v>
      </c>
      <c r="F75" t="inlineStr">
        <is>
          <t>VÄSTRA GÖTALANDS LÄN</t>
        </is>
      </c>
      <c r="G75" t="inlineStr">
        <is>
          <t>TROLLHÄTTAN</t>
        </is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11837-2025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45728</v>
      </c>
      <c r="E76" s="1" t="n">
        <v>46308</v>
      </c>
      <c r="F76" t="inlineStr">
        <is>
          <t>VÄSTRA GÖTALANDS LÄN</t>
        </is>
      </c>
      <c r="G76" t="inlineStr">
        <is>
          <t>TROLLHÄTTAN</t>
        </is>
      </c>
      <c r="I76" t="n">
        <v>1.8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15645-2024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45404</v>
      </c>
      <c r="E77" s="1" t="n">
        <v>46308</v>
      </c>
      <c r="F77" t="inlineStr">
        <is>
          <t>VÄSTRA GÖTALANDS LÄN</t>
        </is>
      </c>
      <c r="G77" t="inlineStr">
        <is>
          <t>TROLLHÄTTAN</t>
        </is>
      </c>
      <c r="I77" t="n">
        <v>2.2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59252-2025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45988</v>
      </c>
      <c r="E78" s="1" t="n">
        <v>46308</v>
      </c>
      <c r="F78" t="inlineStr">
        <is>
          <t>VÄSTRA GÖTALANDS LÄN</t>
        </is>
      </c>
      <c r="G78" t="inlineStr">
        <is>
          <t>TROLLHÄTTAN</t>
        </is>
      </c>
      <c r="I78" t="n">
        <v>3.6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36033-2026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46267</v>
      </c>
      <c r="E79" s="1" t="n">
        <v>46308</v>
      </c>
      <c r="F79" t="inlineStr">
        <is>
          <t>VÄSTRA GÖTALANDS LÄN</t>
        </is>
      </c>
      <c r="G79" t="inlineStr">
        <is>
          <t>TROLLHÄTTAN</t>
        </is>
      </c>
      <c r="I79" t="n">
        <v>1.4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24559-2025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45798</v>
      </c>
      <c r="E80" s="1" t="n">
        <v>46308</v>
      </c>
      <c r="F80" t="inlineStr">
        <is>
          <t>VÄSTRA GÖTALANDS LÄN</t>
        </is>
      </c>
      <c r="G80" t="inlineStr">
        <is>
          <t>TROLLHÄTTAN</t>
        </is>
      </c>
      <c r="I80" t="n">
        <v>6.5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60505-2025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45995</v>
      </c>
      <c r="E81" s="1" t="n">
        <v>46308</v>
      </c>
      <c r="F81" t="inlineStr">
        <is>
          <t>VÄSTRA GÖTALANDS LÄN</t>
        </is>
      </c>
      <c r="G81" t="inlineStr">
        <is>
          <t>TROLLHÄTTAN</t>
        </is>
      </c>
      <c r="I81" t="n">
        <v>2.5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61535-2025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46001</v>
      </c>
      <c r="E82" s="1" t="n">
        <v>46308</v>
      </c>
      <c r="F82" t="inlineStr">
        <is>
          <t>VÄSTRA GÖTALANDS LÄN</t>
        </is>
      </c>
      <c r="G82" t="inlineStr">
        <is>
          <t>TROLLHÄTTAN</t>
        </is>
      </c>
      <c r="I82" t="n">
        <v>1.6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61539-2025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46001</v>
      </c>
      <c r="E83" s="1" t="n">
        <v>46308</v>
      </c>
      <c r="F83" t="inlineStr">
        <is>
          <t>VÄSTRA GÖTALANDS LÄN</t>
        </is>
      </c>
      <c r="G83" t="inlineStr">
        <is>
          <t>TROLLHÄTTAN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34909-2023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45141</v>
      </c>
      <c r="E84" s="1" t="n">
        <v>46308</v>
      </c>
      <c r="F84" t="inlineStr">
        <is>
          <t>VÄSTRA GÖTALANDS LÄN</t>
        </is>
      </c>
      <c r="G84" t="inlineStr">
        <is>
          <t>TROLLHÄTTAN</t>
        </is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49062-2024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45594</v>
      </c>
      <c r="E85" s="1" t="n">
        <v>46308</v>
      </c>
      <c r="F85" t="inlineStr">
        <is>
          <t>VÄSTRA GÖTALANDS LÄN</t>
        </is>
      </c>
      <c r="G85" t="inlineStr">
        <is>
          <t>TROLLHÄTTAN</t>
        </is>
      </c>
      <c r="I85" t="n">
        <v>1.6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45519-2023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45194</v>
      </c>
      <c r="E86" s="1" t="n">
        <v>46308</v>
      </c>
      <c r="F86" t="inlineStr">
        <is>
          <t>VÄSTRA GÖTALANDS LÄN</t>
        </is>
      </c>
      <c r="G86" t="inlineStr">
        <is>
          <t>TROLLHÄTTAN</t>
        </is>
      </c>
      <c r="I86" t="n">
        <v>4.5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27201-2025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45812</v>
      </c>
      <c r="E87" s="1" t="n">
        <v>46308</v>
      </c>
      <c r="F87" t="inlineStr">
        <is>
          <t>VÄSTRA GÖTALANDS LÄN</t>
        </is>
      </c>
      <c r="G87" t="inlineStr">
        <is>
          <t>TROLLHÄTTAN</t>
        </is>
      </c>
      <c r="I87" t="n">
        <v>1.1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63884-2025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46020</v>
      </c>
      <c r="E88" s="1" t="n">
        <v>46308</v>
      </c>
      <c r="F88" t="inlineStr">
        <is>
          <t>VÄSTRA GÖTALANDS LÄN</t>
        </is>
      </c>
      <c r="G88" t="inlineStr">
        <is>
          <t>TROLLHÄTTAN</t>
        </is>
      </c>
      <c r="I88" t="n">
        <v>1.9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20667-2026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46141</v>
      </c>
      <c r="E89" s="1" t="n">
        <v>46308</v>
      </c>
      <c r="F89" t="inlineStr">
        <is>
          <t>VÄSTRA GÖTALANDS LÄN</t>
        </is>
      </c>
      <c r="G89" t="inlineStr">
        <is>
          <t>TROLLHÄTTAN</t>
        </is>
      </c>
      <c r="I89" t="n">
        <v>3.8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60-2026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46024</v>
      </c>
      <c r="E90" s="1" t="n">
        <v>46308</v>
      </c>
      <c r="F90" t="inlineStr">
        <is>
          <t>VÄSTRA GÖTALANDS LÄN</t>
        </is>
      </c>
      <c r="G90" t="inlineStr">
        <is>
          <t>TROLLHÄTTAN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65116-2023</t>
        </is>
      </c>
      <c r="B91" t="inlineStr">
        <is>
          <t>avverkningsanmälan</t>
        </is>
      </c>
      <c r="C91" t="inlineStr">
        <is>
          <t>Avverkning för annat ändamål</t>
        </is>
      </c>
      <c r="D91" s="1" t="n">
        <v>45287</v>
      </c>
      <c r="E91" s="1" t="n">
        <v>46308</v>
      </c>
      <c r="F91" t="inlineStr">
        <is>
          <t>VÄSTRA GÖTALANDS LÄN</t>
        </is>
      </c>
      <c r="G91" t="inlineStr">
        <is>
          <t>TROLLHÄTTAN</t>
        </is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30486-2025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45829</v>
      </c>
      <c r="E92" s="1" t="n">
        <v>46308</v>
      </c>
      <c r="F92" t="inlineStr">
        <is>
          <t>VÄSTRA GÖTALANDS LÄN</t>
        </is>
      </c>
      <c r="G92" t="inlineStr">
        <is>
          <t>TROLLHÄTTAN</t>
        </is>
      </c>
      <c r="I92" t="n">
        <v>1.2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31464-2025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45833</v>
      </c>
      <c r="E93" s="1" t="n">
        <v>46308</v>
      </c>
      <c r="F93" t="inlineStr">
        <is>
          <t>VÄSTRA GÖTALANDS LÄN</t>
        </is>
      </c>
      <c r="G93" t="inlineStr">
        <is>
          <t>TROLLHÄTTAN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1525-2026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46034</v>
      </c>
      <c r="E94" s="1" t="n">
        <v>46308</v>
      </c>
      <c r="F94" t="inlineStr">
        <is>
          <t>VÄSTRA GÖTALANDS LÄN</t>
        </is>
      </c>
      <c r="G94" t="inlineStr">
        <is>
          <t>TROLLHÄTTAN</t>
        </is>
      </c>
      <c r="I94" t="n">
        <v>1.4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3256-2026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46041</v>
      </c>
      <c r="E95" s="1" t="n">
        <v>46308</v>
      </c>
      <c r="F95" t="inlineStr">
        <is>
          <t>VÄSTRA GÖTALANDS LÄN</t>
        </is>
      </c>
      <c r="G95" t="inlineStr">
        <is>
          <t>TROLLHÄTTAN</t>
        </is>
      </c>
      <c r="I95" t="n">
        <v>8.1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38535-2026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46283</v>
      </c>
      <c r="E96" s="1" t="n">
        <v>46308</v>
      </c>
      <c r="F96" t="inlineStr">
        <is>
          <t>VÄSTRA GÖTALANDS LÄN</t>
        </is>
      </c>
      <c r="G96" t="inlineStr">
        <is>
          <t>TROLLHÄTTAN</t>
        </is>
      </c>
      <c r="I96" t="n">
        <v>2.8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15704-2023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45021</v>
      </c>
      <c r="E97" s="1" t="n">
        <v>46308</v>
      </c>
      <c r="F97" t="inlineStr">
        <is>
          <t>VÄSTRA GÖTALANDS LÄN</t>
        </is>
      </c>
      <c r="G97" t="inlineStr">
        <is>
          <t>TROLLHÄTTAN</t>
        </is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15181-2023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45016</v>
      </c>
      <c r="E98" s="1" t="n">
        <v>46308</v>
      </c>
      <c r="F98" t="inlineStr">
        <is>
          <t>VÄSTRA GÖTALANDS LÄN</t>
        </is>
      </c>
      <c r="G98" t="inlineStr">
        <is>
          <t>TROLLHÄTTAN</t>
        </is>
      </c>
      <c r="I98" t="n">
        <v>4.9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34671-2025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45847</v>
      </c>
      <c r="E99" s="1" t="n">
        <v>46308</v>
      </c>
      <c r="F99" t="inlineStr">
        <is>
          <t>VÄSTRA GÖTALANDS LÄN</t>
        </is>
      </c>
      <c r="G99" t="inlineStr">
        <is>
          <t>TROLLHÄTTAN</t>
        </is>
      </c>
      <c r="H99" t="inlineStr">
        <is>
          <t>Kyrkan</t>
        </is>
      </c>
      <c r="I99" t="n">
        <v>2.6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24129-2024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45456</v>
      </c>
      <c r="E100" s="1" t="n">
        <v>46308</v>
      </c>
      <c r="F100" t="inlineStr">
        <is>
          <t>VÄSTRA GÖTALANDS LÄN</t>
        </is>
      </c>
      <c r="G100" t="inlineStr">
        <is>
          <t>TROLLHÄTTAN</t>
        </is>
      </c>
      <c r="I100" t="n">
        <v>1.7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32804-2026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46241</v>
      </c>
      <c r="E101" s="1" t="n">
        <v>46308</v>
      </c>
      <c r="F101" t="inlineStr">
        <is>
          <t>VÄSTRA GÖTALANDS LÄN</t>
        </is>
      </c>
      <c r="G101" t="inlineStr">
        <is>
          <t>TROLLHÄTTAN</t>
        </is>
      </c>
      <c r="H101" t="inlineStr">
        <is>
          <t>Kyrkan</t>
        </is>
      </c>
      <c r="I101" t="n">
        <v>1.4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10640-2025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45721</v>
      </c>
      <c r="E102" s="1" t="n">
        <v>46308</v>
      </c>
      <c r="F102" t="inlineStr">
        <is>
          <t>VÄSTRA GÖTALANDS LÄN</t>
        </is>
      </c>
      <c r="G102" t="inlineStr">
        <is>
          <t>TROLLHÄTTAN</t>
        </is>
      </c>
      <c r="I102" t="n">
        <v>3.1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13510-2022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44648</v>
      </c>
      <c r="E103" s="1" t="n">
        <v>46308</v>
      </c>
      <c r="F103" t="inlineStr">
        <is>
          <t>VÄSTRA GÖTALANDS LÄN</t>
        </is>
      </c>
      <c r="G103" t="inlineStr">
        <is>
          <t>TROLLHÄTTAN</t>
        </is>
      </c>
      <c r="I103" t="n">
        <v>17.6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32797-2026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46241</v>
      </c>
      <c r="E104" s="1" t="n">
        <v>46308</v>
      </c>
      <c r="F104" t="inlineStr">
        <is>
          <t>VÄSTRA GÖTALANDS LÄN</t>
        </is>
      </c>
      <c r="G104" t="inlineStr">
        <is>
          <t>TROLLHÄTTAN</t>
        </is>
      </c>
      <c r="H104" t="inlineStr">
        <is>
          <t>Kyrkan</t>
        </is>
      </c>
      <c r="I104" t="n">
        <v>4.8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36192-2025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45867</v>
      </c>
      <c r="E105" s="1" t="n">
        <v>46308</v>
      </c>
      <c r="F105" t="inlineStr">
        <is>
          <t>VÄSTRA GÖTALANDS LÄN</t>
        </is>
      </c>
      <c r="G105" t="inlineStr">
        <is>
          <t>TROLLHÄTTAN</t>
        </is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33830-2026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46251</v>
      </c>
      <c r="E106" s="1" t="n">
        <v>46308</v>
      </c>
      <c r="F106" t="inlineStr">
        <is>
          <t>VÄSTRA GÖTALANDS LÄN</t>
        </is>
      </c>
      <c r="G106" t="inlineStr">
        <is>
          <t>TROLLHÄTTAN</t>
        </is>
      </c>
      <c r="I106" t="n">
        <v>8.9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33782-2026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46251</v>
      </c>
      <c r="E107" s="1" t="n">
        <v>46308</v>
      </c>
      <c r="F107" t="inlineStr">
        <is>
          <t>VÄSTRA GÖTALANDS LÄN</t>
        </is>
      </c>
      <c r="G107" t="inlineStr">
        <is>
          <t>TROLLHÄTTAN</t>
        </is>
      </c>
      <c r="I107" t="n">
        <v>1.7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32527-2024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45513</v>
      </c>
      <c r="E108" s="1" t="n">
        <v>46308</v>
      </c>
      <c r="F108" t="inlineStr">
        <is>
          <t>VÄSTRA GÖTALANDS LÄN</t>
        </is>
      </c>
      <c r="G108" t="inlineStr">
        <is>
          <t>TROLLHÄTTAN</t>
        </is>
      </c>
      <c r="H108" t="inlineStr">
        <is>
          <t>Kyrkan</t>
        </is>
      </c>
      <c r="I108" t="n">
        <v>8.699999999999999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32541-2024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45513</v>
      </c>
      <c r="E109" s="1" t="n">
        <v>46308</v>
      </c>
      <c r="F109" t="inlineStr">
        <is>
          <t>VÄSTRA GÖTALANDS LÄN</t>
        </is>
      </c>
      <c r="G109" t="inlineStr">
        <is>
          <t>TROLLHÄTTAN</t>
        </is>
      </c>
      <c r="H109" t="inlineStr">
        <is>
          <t>Kyrkan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29300-2024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45483</v>
      </c>
      <c r="E110" s="1" t="n">
        <v>46308</v>
      </c>
      <c r="F110" t="inlineStr">
        <is>
          <t>VÄSTRA GÖTALANDS LÄN</t>
        </is>
      </c>
      <c r="G110" t="inlineStr">
        <is>
          <t>TROLLHÄTTAN</t>
        </is>
      </c>
      <c r="I110" t="n">
        <v>0.8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14211-2026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46099</v>
      </c>
      <c r="E111" s="1" t="n">
        <v>46308</v>
      </c>
      <c r="F111" t="inlineStr">
        <is>
          <t>VÄSTRA GÖTALANDS LÄN</t>
        </is>
      </c>
      <c r="G111" t="inlineStr">
        <is>
          <t>TROLLHÄTTAN</t>
        </is>
      </c>
      <c r="I111" t="n">
        <v>2.5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40725-2026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46296</v>
      </c>
      <c r="E112" s="1" t="n">
        <v>46308</v>
      </c>
      <c r="F112" t="inlineStr">
        <is>
          <t>VÄSTRA GÖTALANDS LÄN</t>
        </is>
      </c>
      <c r="G112" t="inlineStr">
        <is>
          <t>TROLLHÄTTAN</t>
        </is>
      </c>
      <c r="I112" t="n">
        <v>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16487-2023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45029</v>
      </c>
      <c r="E113" s="1" t="n">
        <v>46308</v>
      </c>
      <c r="F113" t="inlineStr">
        <is>
          <t>VÄSTRA GÖTALANDS LÄN</t>
        </is>
      </c>
      <c r="G113" t="inlineStr">
        <is>
          <t>TROLLHÄTTAN</t>
        </is>
      </c>
      <c r="I113" t="n">
        <v>0.9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15592-2026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46106</v>
      </c>
      <c r="E114" s="1" t="n">
        <v>46308</v>
      </c>
      <c r="F114" t="inlineStr">
        <is>
          <t>VÄSTRA GÖTALANDS LÄN</t>
        </is>
      </c>
      <c r="G114" t="inlineStr">
        <is>
          <t>TROLLHÄTTAN</t>
        </is>
      </c>
      <c r="I114" t="n">
        <v>8.4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16030-2026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46108</v>
      </c>
      <c r="E115" s="1" t="n">
        <v>46308</v>
      </c>
      <c r="F115" t="inlineStr">
        <is>
          <t>VÄSTRA GÖTALANDS LÄN</t>
        </is>
      </c>
      <c r="G115" t="inlineStr">
        <is>
          <t>TROLLHÄTTAN</t>
        </is>
      </c>
      <c r="I115" t="n">
        <v>15.8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11123-2024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45371</v>
      </c>
      <c r="E116" s="1" t="n">
        <v>46308</v>
      </c>
      <c r="F116" t="inlineStr">
        <is>
          <t>VÄSTRA GÖTALANDS LÄN</t>
        </is>
      </c>
      <c r="G116" t="inlineStr">
        <is>
          <t>TROLLHÄTTAN</t>
        </is>
      </c>
      <c r="I116" t="n">
        <v>8.199999999999999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34435-2024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45525</v>
      </c>
      <c r="E117" s="1" t="n">
        <v>46308</v>
      </c>
      <c r="F117" t="inlineStr">
        <is>
          <t>VÄSTRA GÖTALANDS LÄN</t>
        </is>
      </c>
      <c r="G117" t="inlineStr">
        <is>
          <t>TROLLHÄTTAN</t>
        </is>
      </c>
      <c r="I117" t="n">
        <v>2.9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17485-2026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46120</v>
      </c>
      <c r="E118" s="1" t="n">
        <v>46308</v>
      </c>
      <c r="F118" t="inlineStr">
        <is>
          <t>VÄSTRA GÖTALANDS LÄN</t>
        </is>
      </c>
      <c r="G118" t="inlineStr">
        <is>
          <t>TROLLHÄTTAN</t>
        </is>
      </c>
      <c r="I118" t="n">
        <v>3.6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55033-2023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45237</v>
      </c>
      <c r="E119" s="1" t="n">
        <v>46308</v>
      </c>
      <c r="F119" t="inlineStr">
        <is>
          <t>VÄSTRA GÖTALANDS LÄN</t>
        </is>
      </c>
      <c r="G119" t="inlineStr">
        <is>
          <t>TROLLHÄTTAN</t>
        </is>
      </c>
      <c r="I119" t="n">
        <v>1.3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53401-2022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44879</v>
      </c>
      <c r="E120" s="1" t="n">
        <v>46308</v>
      </c>
      <c r="F120" t="inlineStr">
        <is>
          <t>VÄSTRA GÖTALANDS LÄN</t>
        </is>
      </c>
      <c r="G120" t="inlineStr">
        <is>
          <t>TROLLHÄTTAN</t>
        </is>
      </c>
      <c r="I120" t="n">
        <v>1.5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46533-2024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45582</v>
      </c>
      <c r="E121" s="1" t="n">
        <v>46308</v>
      </c>
      <c r="F121" t="inlineStr">
        <is>
          <t>VÄSTRA GÖTALANDS LÄN</t>
        </is>
      </c>
      <c r="G121" t="inlineStr">
        <is>
          <t>TROLLHÄTTAN</t>
        </is>
      </c>
      <c r="I121" t="n">
        <v>1.8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37562-2024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45541</v>
      </c>
      <c r="E122" s="1" t="n">
        <v>46308</v>
      </c>
      <c r="F122" t="inlineStr">
        <is>
          <t>VÄSTRA GÖTALANDS LÄN</t>
        </is>
      </c>
      <c r="G122" t="inlineStr">
        <is>
          <t>TROLLHÄTTAN</t>
        </is>
      </c>
      <c r="I122" t="n">
        <v>4.2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18840-2026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46129</v>
      </c>
      <c r="E123" s="1" t="n">
        <v>46308</v>
      </c>
      <c r="F123" t="inlineStr">
        <is>
          <t>VÄSTRA GÖTALANDS LÄN</t>
        </is>
      </c>
      <c r="G123" t="inlineStr">
        <is>
          <t>TROLLHÄTTAN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41807-2026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46303</v>
      </c>
      <c r="E124" s="1" t="n">
        <v>46308</v>
      </c>
      <c r="F124" t="inlineStr">
        <is>
          <t>VÄSTRA GÖTALANDS LÄN</t>
        </is>
      </c>
      <c r="G124" t="inlineStr">
        <is>
          <t>TROLLHÄTTAN</t>
        </is>
      </c>
      <c r="I124" t="n">
        <v>8.4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27652-2022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44743</v>
      </c>
      <c r="E125" s="1" t="n">
        <v>46308</v>
      </c>
      <c r="F125" t="inlineStr">
        <is>
          <t>VÄSTRA GÖTALANDS LÄN</t>
        </is>
      </c>
      <c r="G125" t="inlineStr">
        <is>
          <t>TROLLHÄTTAN</t>
        </is>
      </c>
      <c r="I125" t="n">
        <v>9.1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19373-2026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46133</v>
      </c>
      <c r="E126" s="1" t="n">
        <v>46308</v>
      </c>
      <c r="F126" t="inlineStr">
        <is>
          <t>VÄSTRA GÖTALANDS LÄN</t>
        </is>
      </c>
      <c r="G126" t="inlineStr">
        <is>
          <t>TROLLHÄTTAN</t>
        </is>
      </c>
      <c r="I126" t="n">
        <v>1.7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7628-2022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44607</v>
      </c>
      <c r="E127" s="1" t="n">
        <v>46308</v>
      </c>
      <c r="F127" t="inlineStr">
        <is>
          <t>VÄSTRA GÖTALANDS LÄN</t>
        </is>
      </c>
      <c r="G127" t="inlineStr">
        <is>
          <t>TROLLHÄTTAN</t>
        </is>
      </c>
      <c r="I127" t="n">
        <v>2.1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20009-2026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46136</v>
      </c>
      <c r="E128" s="1" t="n">
        <v>46308</v>
      </c>
      <c r="F128" t="inlineStr">
        <is>
          <t>VÄSTRA GÖTALANDS LÄN</t>
        </is>
      </c>
      <c r="G128" t="inlineStr">
        <is>
          <t>TROLLHÄTTAN</t>
        </is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59879-2024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45640</v>
      </c>
      <c r="E129" s="1" t="n">
        <v>46308</v>
      </c>
      <c r="F129" t="inlineStr">
        <is>
          <t>VÄSTRA GÖTALANDS LÄN</t>
        </is>
      </c>
      <c r="G129" t="inlineStr">
        <is>
          <t>TROLLHÄTTAN</t>
        </is>
      </c>
      <c r="I129" t="n">
        <v>0.8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11991-2022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44635</v>
      </c>
      <c r="E130" s="1" t="n">
        <v>46308</v>
      </c>
      <c r="F130" t="inlineStr">
        <is>
          <t>VÄSTRA GÖTALANDS LÄN</t>
        </is>
      </c>
      <c r="G130" t="inlineStr">
        <is>
          <t>TROLLHÄTTAN</t>
        </is>
      </c>
      <c r="I130" t="n">
        <v>0.6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3272-2025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45679</v>
      </c>
      <c r="E131" s="1" t="n">
        <v>46308</v>
      </c>
      <c r="F131" t="inlineStr">
        <is>
          <t>VÄSTRA GÖTALANDS LÄN</t>
        </is>
      </c>
      <c r="G131" t="inlineStr">
        <is>
          <t>TROLLHÄTTAN</t>
        </is>
      </c>
      <c r="I131" t="n">
        <v>2.1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4906-2024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45329</v>
      </c>
      <c r="E132" s="1" t="n">
        <v>46308</v>
      </c>
      <c r="F132" t="inlineStr">
        <is>
          <t>VÄSTRA GÖTALANDS LÄN</t>
        </is>
      </c>
      <c r="G132" t="inlineStr">
        <is>
          <t>TROLLHÄTTAN</t>
        </is>
      </c>
      <c r="I132" t="n">
        <v>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47902-2024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45589</v>
      </c>
      <c r="E133" s="1" t="n">
        <v>46308</v>
      </c>
      <c r="F133" t="inlineStr">
        <is>
          <t>VÄSTRA GÖTALANDS LÄN</t>
        </is>
      </c>
      <c r="G133" t="inlineStr">
        <is>
          <t>TROLLHÄTTAN</t>
        </is>
      </c>
      <c r="I133" t="n">
        <v>1.8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58330-2022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44901</v>
      </c>
      <c r="E134" s="1" t="n">
        <v>46308</v>
      </c>
      <c r="F134" t="inlineStr">
        <is>
          <t>VÄSTRA GÖTALANDS LÄN</t>
        </is>
      </c>
      <c r="G134" t="inlineStr">
        <is>
          <t>TROLLHÄTTAN</t>
        </is>
      </c>
      <c r="I134" t="n">
        <v>2.1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13119-2023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45002</v>
      </c>
      <c r="E135" s="1" t="n">
        <v>46308</v>
      </c>
      <c r="F135" t="inlineStr">
        <is>
          <t>VÄSTRA GÖTALANDS LÄN</t>
        </is>
      </c>
      <c r="G135" t="inlineStr">
        <is>
          <t>TROLLHÄTTAN</t>
        </is>
      </c>
      <c r="I135" t="n">
        <v>2.6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20152-2026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46138</v>
      </c>
      <c r="E136" s="1" t="n">
        <v>46308</v>
      </c>
      <c r="F136" t="inlineStr">
        <is>
          <t>VÄSTRA GÖTALANDS LÄN</t>
        </is>
      </c>
      <c r="G136" t="inlineStr">
        <is>
          <t>TROLLHÄTTAN</t>
        </is>
      </c>
      <c r="I136" t="n">
        <v>0.8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68454-2021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44529</v>
      </c>
      <c r="E137" s="1" t="n">
        <v>46308</v>
      </c>
      <c r="F137" t="inlineStr">
        <is>
          <t>VÄSTRA GÖTALANDS LÄN</t>
        </is>
      </c>
      <c r="G137" t="inlineStr">
        <is>
          <t>TROLLHÄTTAN</t>
        </is>
      </c>
      <c r="I137" t="n">
        <v>1.6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30773-2024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45496</v>
      </c>
      <c r="E138" s="1" t="n">
        <v>46308</v>
      </c>
      <c r="F138" t="inlineStr">
        <is>
          <t>VÄSTRA GÖTALANDS LÄN</t>
        </is>
      </c>
      <c r="G138" t="inlineStr">
        <is>
          <t>TROLLHÄTTAN</t>
        </is>
      </c>
      <c r="I138" t="n">
        <v>0.9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57259-2022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44895</v>
      </c>
      <c r="E139" s="1" t="n">
        <v>46308</v>
      </c>
      <c r="F139" t="inlineStr">
        <is>
          <t>VÄSTRA GÖTALANDS LÄN</t>
        </is>
      </c>
      <c r="G139" t="inlineStr">
        <is>
          <t>TROLLHÄTTAN</t>
        </is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28224-2023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45099</v>
      </c>
      <c r="E140" s="1" t="n">
        <v>46308</v>
      </c>
      <c r="F140" t="inlineStr">
        <is>
          <t>VÄSTRA GÖTALANDS LÄN</t>
        </is>
      </c>
      <c r="G140" t="inlineStr">
        <is>
          <t>TROLLHÄTTAN</t>
        </is>
      </c>
      <c r="I140" t="n">
        <v>4.8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4307-2025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45685</v>
      </c>
      <c r="E141" s="1" t="n">
        <v>46308</v>
      </c>
      <c r="F141" t="inlineStr">
        <is>
          <t>VÄSTRA GÖTALANDS LÄN</t>
        </is>
      </c>
      <c r="G141" t="inlineStr">
        <is>
          <t>TROLLHÄTTAN</t>
        </is>
      </c>
      <c r="I141" t="n">
        <v>1.1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10777-2024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45369</v>
      </c>
      <c r="E142" s="1" t="n">
        <v>46308</v>
      </c>
      <c r="F142" t="inlineStr">
        <is>
          <t>VÄSTRA GÖTALANDS LÄN</t>
        </is>
      </c>
      <c r="G142" t="inlineStr">
        <is>
          <t>TROLLHÄTTAN</t>
        </is>
      </c>
      <c r="I142" t="n">
        <v>0.9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20500-2026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46140</v>
      </c>
      <c r="E143" s="1" t="n">
        <v>46308</v>
      </c>
      <c r="F143" t="inlineStr">
        <is>
          <t>VÄSTRA GÖTALANDS LÄN</t>
        </is>
      </c>
      <c r="G143" t="inlineStr">
        <is>
          <t>TROLLHÄTTAN</t>
        </is>
      </c>
      <c r="I143" t="n">
        <v>2.7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20501-2026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46140</v>
      </c>
      <c r="E144" s="1" t="n">
        <v>46308</v>
      </c>
      <c r="F144" t="inlineStr">
        <is>
          <t>VÄSTRA GÖTALANDS LÄN</t>
        </is>
      </c>
      <c r="G144" t="inlineStr">
        <is>
          <t>TROLLHÄTTAN</t>
        </is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2263-2024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45310</v>
      </c>
      <c r="E145" s="1" t="n">
        <v>46308</v>
      </c>
      <c r="F145" t="inlineStr">
        <is>
          <t>VÄSTRA GÖTALANDS LÄN</t>
        </is>
      </c>
      <c r="G145" t="inlineStr">
        <is>
          <t>TROLLHÄTTAN</t>
        </is>
      </c>
      <c r="H145" t="inlineStr">
        <is>
          <t>Kommuner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21929-2026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46150</v>
      </c>
      <c r="E146" s="1" t="n">
        <v>46308</v>
      </c>
      <c r="F146" t="inlineStr">
        <is>
          <t>VÄSTRA GÖTALANDS LÄN</t>
        </is>
      </c>
      <c r="G146" t="inlineStr">
        <is>
          <t>TROLLHÄTTAN</t>
        </is>
      </c>
      <c r="I146" t="n">
        <v>0.8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22620-2026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46155</v>
      </c>
      <c r="E147" s="1" t="n">
        <v>46308</v>
      </c>
      <c r="F147" t="inlineStr">
        <is>
          <t>VÄSTRA GÖTALANDS LÄN</t>
        </is>
      </c>
      <c r="G147" t="inlineStr">
        <is>
          <t>TROLLHÄTTAN</t>
        </is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8273-2024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45352</v>
      </c>
      <c r="E148" s="1" t="n">
        <v>46308</v>
      </c>
      <c r="F148" t="inlineStr">
        <is>
          <t>VÄSTRA GÖTALANDS LÄN</t>
        </is>
      </c>
      <c r="G148" t="inlineStr">
        <is>
          <t>TROLLHÄTTAN</t>
        </is>
      </c>
      <c r="I148" t="n">
        <v>2.5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52688-2024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45610</v>
      </c>
      <c r="E149" s="1" t="n">
        <v>46308</v>
      </c>
      <c r="F149" t="inlineStr">
        <is>
          <t>VÄSTRA GÖTALANDS LÄN</t>
        </is>
      </c>
      <c r="G149" t="inlineStr">
        <is>
          <t>TROLLHÄTTAN</t>
        </is>
      </c>
      <c r="I149" t="n">
        <v>1.4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46529-2024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45582</v>
      </c>
      <c r="E150" s="1" t="n">
        <v>46308</v>
      </c>
      <c r="F150" t="inlineStr">
        <is>
          <t>VÄSTRA GÖTALANDS LÄN</t>
        </is>
      </c>
      <c r="G150" t="inlineStr">
        <is>
          <t>TROLLHÄTTAN</t>
        </is>
      </c>
      <c r="I150" t="n">
        <v>11.7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10858-2026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46078</v>
      </c>
      <c r="E151" s="1" t="n">
        <v>46308</v>
      </c>
      <c r="F151" t="inlineStr">
        <is>
          <t>VÄSTRA GÖTALANDS LÄN</t>
        </is>
      </c>
      <c r="G151" t="inlineStr">
        <is>
          <t>TROLLHÄTTAN</t>
        </is>
      </c>
      <c r="I151" t="n">
        <v>8.5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131-2024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45294</v>
      </c>
      <c r="E152" s="1" t="n">
        <v>46308</v>
      </c>
      <c r="F152" t="inlineStr">
        <is>
          <t>VÄSTRA GÖTALANDS LÄN</t>
        </is>
      </c>
      <c r="G152" t="inlineStr">
        <is>
          <t>TROLLHÄTTAN</t>
        </is>
      </c>
      <c r="I152" t="n">
        <v>7.5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75-2025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45659</v>
      </c>
      <c r="E153" s="1" t="n">
        <v>46308</v>
      </c>
      <c r="F153" t="inlineStr">
        <is>
          <t>VÄSTRA GÖTALANDS LÄN</t>
        </is>
      </c>
      <c r="G153" t="inlineStr">
        <is>
          <t>TROLLHÄTTAN</t>
        </is>
      </c>
      <c r="I153" t="n">
        <v>5.4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68400-2021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44529</v>
      </c>
      <c r="E154" s="1" t="n">
        <v>46308</v>
      </c>
      <c r="F154" t="inlineStr">
        <is>
          <t>VÄSTRA GÖTALANDS LÄN</t>
        </is>
      </c>
      <c r="G154" t="inlineStr">
        <is>
          <t>TROLLHÄTTAN</t>
        </is>
      </c>
      <c r="I154" t="n">
        <v>2.8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35465-2022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44798</v>
      </c>
      <c r="E155" s="1" t="n">
        <v>46308</v>
      </c>
      <c r="F155" t="inlineStr">
        <is>
          <t>VÄSTRA GÖTALANDS LÄN</t>
        </is>
      </c>
      <c r="G155" t="inlineStr">
        <is>
          <t>TROLLHÄTTAN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39116-2022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44817</v>
      </c>
      <c r="E156" s="1" t="n">
        <v>46308</v>
      </c>
      <c r="F156" t="inlineStr">
        <is>
          <t>VÄSTRA GÖTALANDS LÄN</t>
        </is>
      </c>
      <c r="G156" t="inlineStr">
        <is>
          <t>TROLLHÄTTAN</t>
        </is>
      </c>
      <c r="I156" t="n">
        <v>3.3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62266-2022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44923</v>
      </c>
      <c r="E157" s="1" t="n">
        <v>46308</v>
      </c>
      <c r="F157" t="inlineStr">
        <is>
          <t>VÄSTRA GÖTALANDS LÄN</t>
        </is>
      </c>
      <c r="G157" t="inlineStr">
        <is>
          <t>TROLLHÄTTAN</t>
        </is>
      </c>
      <c r="I157" t="n">
        <v>0.6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10767-2024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45369</v>
      </c>
      <c r="E158" s="1" t="n">
        <v>46308</v>
      </c>
      <c r="F158" t="inlineStr">
        <is>
          <t>VÄSTRA GÖTALANDS LÄN</t>
        </is>
      </c>
      <c r="G158" t="inlineStr">
        <is>
          <t>TROLLHÄTTAN</t>
        </is>
      </c>
      <c r="I158" t="n">
        <v>1.5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60103-2022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44909</v>
      </c>
      <c r="E159" s="1" t="n">
        <v>46308</v>
      </c>
      <c r="F159" t="inlineStr">
        <is>
          <t>VÄSTRA GÖTALANDS LÄN</t>
        </is>
      </c>
      <c r="G159" t="inlineStr">
        <is>
          <t>TROLLHÄTTAN</t>
        </is>
      </c>
      <c r="I159" t="n">
        <v>1.1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13515-2022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44648</v>
      </c>
      <c r="E160" s="1" t="n">
        <v>46308</v>
      </c>
      <c r="F160" t="inlineStr">
        <is>
          <t>VÄSTRA GÖTALANDS LÄN</t>
        </is>
      </c>
      <c r="G160" t="inlineStr">
        <is>
          <t>TROLLHÄTTAN</t>
        </is>
      </c>
      <c r="I160" t="n">
        <v>3.3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4077-2025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45684</v>
      </c>
      <c r="E161" s="1" t="n">
        <v>46308</v>
      </c>
      <c r="F161" t="inlineStr">
        <is>
          <t>VÄSTRA GÖTALANDS LÄN</t>
        </is>
      </c>
      <c r="G161" t="inlineStr">
        <is>
          <t>TROLLHÄTTAN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2402-2024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45310</v>
      </c>
      <c r="E162" s="1" t="n">
        <v>46308</v>
      </c>
      <c r="F162" t="inlineStr">
        <is>
          <t>VÄSTRA GÖTALANDS LÄN</t>
        </is>
      </c>
      <c r="G162" t="inlineStr">
        <is>
          <t>TROLLHÄTTAN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73158-2021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44550</v>
      </c>
      <c r="E163" s="1" t="n">
        <v>46308</v>
      </c>
      <c r="F163" t="inlineStr">
        <is>
          <t>VÄSTRA GÖTALANDS LÄN</t>
        </is>
      </c>
      <c r="G163" t="inlineStr">
        <is>
          <t>TROLLHÄTTAN</t>
        </is>
      </c>
      <c r="I163" t="n">
        <v>1.3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13883-2022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44650</v>
      </c>
      <c r="E164" s="1" t="n">
        <v>46308</v>
      </c>
      <c r="F164" t="inlineStr">
        <is>
          <t>VÄSTRA GÖTALANDS LÄN</t>
        </is>
      </c>
      <c r="G164" t="inlineStr">
        <is>
          <t>TROLLHÄTTAN</t>
        </is>
      </c>
      <c r="I164" t="n">
        <v>6.1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59625-2023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45254</v>
      </c>
      <c r="E165" s="1" t="n">
        <v>46308</v>
      </c>
      <c r="F165" t="inlineStr">
        <is>
          <t>VÄSTRA GÖTALANDS LÄN</t>
        </is>
      </c>
      <c r="G165" t="inlineStr">
        <is>
          <t>TROLLHÄTTAN</t>
        </is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15659-2025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45748</v>
      </c>
      <c r="E166" s="1" t="n">
        <v>46308</v>
      </c>
      <c r="F166" t="inlineStr">
        <is>
          <t>VÄSTRA GÖTALANDS LÄN</t>
        </is>
      </c>
      <c r="G166" t="inlineStr">
        <is>
          <t>TROLLHÄTTAN</t>
        </is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16154-2024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45406</v>
      </c>
      <c r="E167" s="1" t="n">
        <v>46308</v>
      </c>
      <c r="F167" t="inlineStr">
        <is>
          <t>VÄSTRA GÖTALANDS LÄN</t>
        </is>
      </c>
      <c r="G167" t="inlineStr">
        <is>
          <t>TROLLHÄTTAN</t>
        </is>
      </c>
      <c r="I167" t="n">
        <v>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16155-2024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45406</v>
      </c>
      <c r="E168" s="1" t="n">
        <v>46308</v>
      </c>
      <c r="F168" t="inlineStr">
        <is>
          <t>VÄSTRA GÖTALANDS LÄN</t>
        </is>
      </c>
      <c r="G168" t="inlineStr">
        <is>
          <t>TROLLHÄTTAN</t>
        </is>
      </c>
      <c r="I168" t="n">
        <v>2.5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35969-2024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45533</v>
      </c>
      <c r="E169" s="1" t="n">
        <v>46308</v>
      </c>
      <c r="F169" t="inlineStr">
        <is>
          <t>VÄSTRA GÖTALANDS LÄN</t>
        </is>
      </c>
      <c r="G169" t="inlineStr">
        <is>
          <t>TROLLHÄTTAN</t>
        </is>
      </c>
      <c r="I169" t="n">
        <v>1.3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41554-2024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45560</v>
      </c>
      <c r="E170" s="1" t="n">
        <v>46308</v>
      </c>
      <c r="F170" t="inlineStr">
        <is>
          <t>VÄSTRA GÖTALANDS LÄN</t>
        </is>
      </c>
      <c r="G170" t="inlineStr">
        <is>
          <t>TROLLHÄTTAN</t>
        </is>
      </c>
      <c r="I170" t="n">
        <v>1.7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45983-2024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45580</v>
      </c>
      <c r="E171" s="1" t="n">
        <v>46308</v>
      </c>
      <c r="F171" t="inlineStr">
        <is>
          <t>VÄSTRA GÖTALANDS LÄN</t>
        </is>
      </c>
      <c r="G171" t="inlineStr">
        <is>
          <t>TROLLHÄTTAN</t>
        </is>
      </c>
      <c r="I171" t="n">
        <v>2.8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32826-2022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44784</v>
      </c>
      <c r="E172" s="1" t="n">
        <v>46308</v>
      </c>
      <c r="F172" t="inlineStr">
        <is>
          <t>VÄSTRA GÖTALANDS LÄN</t>
        </is>
      </c>
      <c r="G172" t="inlineStr">
        <is>
          <t>TROLLHÄTTAN</t>
        </is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53426-2022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44879</v>
      </c>
      <c r="E173" s="1" t="n">
        <v>46308</v>
      </c>
      <c r="F173" t="inlineStr">
        <is>
          <t>VÄSTRA GÖTALANDS LÄN</t>
        </is>
      </c>
      <c r="G173" t="inlineStr">
        <is>
          <t>TROLLHÄTTAN</t>
        </is>
      </c>
      <c r="I173" t="n">
        <v>13.2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13220-2022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44644</v>
      </c>
      <c r="E174" s="1" t="n">
        <v>46308</v>
      </c>
      <c r="F174" t="inlineStr">
        <is>
          <t>VÄSTRA GÖTALANDS LÄN</t>
        </is>
      </c>
      <c r="G174" t="inlineStr">
        <is>
          <t>TROLLHÄTTAN</t>
        </is>
      </c>
      <c r="I174" t="n">
        <v>1.3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19447-2025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45770</v>
      </c>
      <c r="E175" s="1" t="n">
        <v>46308</v>
      </c>
      <c r="F175" t="inlineStr">
        <is>
          <t>VÄSTRA GÖTALANDS LÄN</t>
        </is>
      </c>
      <c r="G175" t="inlineStr">
        <is>
          <t>TROLLHÄTTAN</t>
        </is>
      </c>
      <c r="I175" t="n">
        <v>4.9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64669-2023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45281</v>
      </c>
      <c r="E176" s="1" t="n">
        <v>46308</v>
      </c>
      <c r="F176" t="inlineStr">
        <is>
          <t>VÄSTRA GÖTALANDS LÄN</t>
        </is>
      </c>
      <c r="G176" t="inlineStr">
        <is>
          <t>TROLLHÄTTAN</t>
        </is>
      </c>
      <c r="I176" t="n">
        <v>1.1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16473-2023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45029</v>
      </c>
      <c r="E177" s="1" t="n">
        <v>46308</v>
      </c>
      <c r="F177" t="inlineStr">
        <is>
          <t>VÄSTRA GÖTALANDS LÄN</t>
        </is>
      </c>
      <c r="G177" t="inlineStr">
        <is>
          <t>TROLLHÄTTAN</t>
        </is>
      </c>
      <c r="I177" t="n">
        <v>5.5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16475-2023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45029</v>
      </c>
      <c r="E178" s="1" t="n">
        <v>46308</v>
      </c>
      <c r="F178" t="inlineStr">
        <is>
          <t>VÄSTRA GÖTALANDS LÄN</t>
        </is>
      </c>
      <c r="G178" t="inlineStr">
        <is>
          <t>TROLLHÄTTAN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53131-2022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44876</v>
      </c>
      <c r="E179" s="1" t="n">
        <v>46308</v>
      </c>
      <c r="F179" t="inlineStr">
        <is>
          <t>VÄSTRA GÖTALANDS LÄN</t>
        </is>
      </c>
      <c r="G179" t="inlineStr">
        <is>
          <t>TROLLHÄTTAN</t>
        </is>
      </c>
      <c r="I179" t="n">
        <v>1.8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64784-2023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45282</v>
      </c>
      <c r="E180" s="1" t="n">
        <v>46308</v>
      </c>
      <c r="F180" t="inlineStr">
        <is>
          <t>VÄSTRA GÖTALANDS LÄN</t>
        </is>
      </c>
      <c r="G180" t="inlineStr">
        <is>
          <t>TROLLHÄTTAN</t>
        </is>
      </c>
      <c r="I180" t="n">
        <v>2.2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3044-2022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44582</v>
      </c>
      <c r="E181" s="1" t="n">
        <v>46308</v>
      </c>
      <c r="F181" t="inlineStr">
        <is>
          <t>VÄSTRA GÖTALANDS LÄN</t>
        </is>
      </c>
      <c r="G181" t="inlineStr">
        <is>
          <t>TROLLHÄTTAN</t>
        </is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15000-2023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45015</v>
      </c>
      <c r="E182" s="1" t="n">
        <v>46308</v>
      </c>
      <c r="F182" t="inlineStr">
        <is>
          <t>VÄSTRA GÖTALANDS LÄN</t>
        </is>
      </c>
      <c r="G182" t="inlineStr">
        <is>
          <t>TROLLHÄTTAN</t>
        </is>
      </c>
      <c r="I182" t="n">
        <v>2.4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6251-2023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44965</v>
      </c>
      <c r="E183" s="1" t="n">
        <v>46308</v>
      </c>
      <c r="F183" t="inlineStr">
        <is>
          <t>VÄSTRA GÖTALANDS LÄN</t>
        </is>
      </c>
      <c r="G183" t="inlineStr">
        <is>
          <t>TROLLHÄTTAN</t>
        </is>
      </c>
      <c r="I183" t="n">
        <v>15.4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19781-2025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45771</v>
      </c>
      <c r="E184" s="1" t="n">
        <v>46308</v>
      </c>
      <c r="F184" t="inlineStr">
        <is>
          <t>VÄSTRA GÖTALANDS LÄN</t>
        </is>
      </c>
      <c r="G184" t="inlineStr">
        <is>
          <t>TROLLHÄTTAN</t>
        </is>
      </c>
      <c r="I184" t="n">
        <v>6.1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23451-2023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45076</v>
      </c>
      <c r="E185" s="1" t="n">
        <v>46308</v>
      </c>
      <c r="F185" t="inlineStr">
        <is>
          <t>VÄSTRA GÖTALANDS LÄN</t>
        </is>
      </c>
      <c r="G185" t="inlineStr">
        <is>
          <t>TROLLHÄTTAN</t>
        </is>
      </c>
      <c r="H185" t="inlineStr">
        <is>
          <t>Kommuner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60498-2024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45643</v>
      </c>
      <c r="E186" s="1" t="n">
        <v>46308</v>
      </c>
      <c r="F186" t="inlineStr">
        <is>
          <t>VÄSTRA GÖTALANDS LÄN</t>
        </is>
      </c>
      <c r="G186" t="inlineStr">
        <is>
          <t>TROLLHÄTTAN</t>
        </is>
      </c>
      <c r="I186" t="n">
        <v>1.1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5927-2022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44598</v>
      </c>
      <c r="E187" s="1" t="n">
        <v>46308</v>
      </c>
      <c r="F187" t="inlineStr">
        <is>
          <t>VÄSTRA GÖTALANDS LÄN</t>
        </is>
      </c>
      <c r="G187" t="inlineStr">
        <is>
          <t>TROLLHÄTTAN</t>
        </is>
      </c>
      <c r="I187" t="n">
        <v>6.6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41893-2022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44830</v>
      </c>
      <c r="E188" s="1" t="n">
        <v>46308</v>
      </c>
      <c r="F188" t="inlineStr">
        <is>
          <t>VÄSTRA GÖTALANDS LÄN</t>
        </is>
      </c>
      <c r="G188" t="inlineStr">
        <is>
          <t>TROLLHÄTTAN</t>
        </is>
      </c>
      <c r="H188" t="inlineStr">
        <is>
          <t>Kommuner</t>
        </is>
      </c>
      <c r="I188" t="n">
        <v>2.5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7783-2023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44973</v>
      </c>
      <c r="E189" s="1" t="n">
        <v>46308</v>
      </c>
      <c r="F189" t="inlineStr">
        <is>
          <t>VÄSTRA GÖTALANDS LÄN</t>
        </is>
      </c>
      <c r="G189" t="inlineStr">
        <is>
          <t>TROLLHÄTTAN</t>
        </is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5242-2022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44594</v>
      </c>
      <c r="E190" s="1" t="n">
        <v>46308</v>
      </c>
      <c r="F190" t="inlineStr">
        <is>
          <t>VÄSTRA GÖTALANDS LÄN</t>
        </is>
      </c>
      <c r="G190" t="inlineStr">
        <is>
          <t>TROLLHÄTTAN</t>
        </is>
      </c>
      <c r="I190" t="n">
        <v>8.800000000000001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57918-2022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44900</v>
      </c>
      <c r="E191" s="1" t="n">
        <v>46308</v>
      </c>
      <c r="F191" t="inlineStr">
        <is>
          <t>VÄSTRA GÖTALANDS LÄN</t>
        </is>
      </c>
      <c r="G191" t="inlineStr">
        <is>
          <t>TROLLHÄTTAN</t>
        </is>
      </c>
      <c r="I191" t="n">
        <v>3.2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7781-2023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44973</v>
      </c>
      <c r="E192" s="1" t="n">
        <v>46308</v>
      </c>
      <c r="F192" t="inlineStr">
        <is>
          <t>VÄSTRA GÖTALANDS LÄN</t>
        </is>
      </c>
      <c r="G192" t="inlineStr">
        <is>
          <t>TROLLHÄTTAN</t>
        </is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7921-2024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45350</v>
      </c>
      <c r="E193" s="1" t="n">
        <v>46308</v>
      </c>
      <c r="F193" t="inlineStr">
        <is>
          <t>VÄSTRA GÖTALANDS LÄN</t>
        </is>
      </c>
      <c r="G193" t="inlineStr">
        <is>
          <t>TROLLHÄTTAN</t>
        </is>
      </c>
      <c r="I193" t="n">
        <v>0.6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45521-2022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44845</v>
      </c>
      <c r="E194" s="1" t="n">
        <v>46308</v>
      </c>
      <c r="F194" t="inlineStr">
        <is>
          <t>VÄSTRA GÖTALANDS LÄN</t>
        </is>
      </c>
      <c r="G194" t="inlineStr">
        <is>
          <t>TROLLHÄTTAN</t>
        </is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17126-2022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44677</v>
      </c>
      <c r="E195" s="1" t="n">
        <v>46308</v>
      </c>
      <c r="F195" t="inlineStr">
        <is>
          <t>VÄSTRA GÖTALANDS LÄN</t>
        </is>
      </c>
      <c r="G195" t="inlineStr">
        <is>
          <t>TROLLHÄTTAN</t>
        </is>
      </c>
      <c r="I195" t="n">
        <v>2.4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56116-2022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44889</v>
      </c>
      <c r="E196" s="1" t="n">
        <v>46308</v>
      </c>
      <c r="F196" t="inlineStr">
        <is>
          <t>VÄSTRA GÖTALANDS LÄN</t>
        </is>
      </c>
      <c r="G196" t="inlineStr">
        <is>
          <t>TROLLHÄTTAN</t>
        </is>
      </c>
      <c r="I196" t="n">
        <v>2.2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40896-2022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44825</v>
      </c>
      <c r="E197" s="1" t="n">
        <v>46308</v>
      </c>
      <c r="F197" t="inlineStr">
        <is>
          <t>VÄSTRA GÖTALANDS LÄN</t>
        </is>
      </c>
      <c r="G197" t="inlineStr">
        <is>
          <t>TROLLHÄTTAN</t>
        </is>
      </c>
      <c r="I197" t="n">
        <v>11.3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12329-2024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45378</v>
      </c>
      <c r="E198" s="1" t="n">
        <v>46308</v>
      </c>
      <c r="F198" t="inlineStr">
        <is>
          <t>VÄSTRA GÖTALANDS LÄN</t>
        </is>
      </c>
      <c r="G198" t="inlineStr">
        <is>
          <t>TROLLHÄTTAN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37371-2023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45156</v>
      </c>
      <c r="E199" s="1" t="n">
        <v>46308</v>
      </c>
      <c r="F199" t="inlineStr">
        <is>
          <t>VÄSTRA GÖTALANDS LÄN</t>
        </is>
      </c>
      <c r="G199" t="inlineStr">
        <is>
          <t>TROLLHÄTTAN</t>
        </is>
      </c>
      <c r="I199" t="n">
        <v>2.1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3074-2023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44946</v>
      </c>
      <c r="E200" s="1" t="n">
        <v>46308</v>
      </c>
      <c r="F200" t="inlineStr">
        <is>
          <t>VÄSTRA GÖTALANDS LÄN</t>
        </is>
      </c>
      <c r="G200" t="inlineStr">
        <is>
          <t>TROLLHÄTTAN</t>
        </is>
      </c>
      <c r="I200" t="n">
        <v>6.1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7730-2023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44973</v>
      </c>
      <c r="E201" s="1" t="n">
        <v>46308</v>
      </c>
      <c r="F201" t="inlineStr">
        <is>
          <t>VÄSTRA GÖTALANDS LÄN</t>
        </is>
      </c>
      <c r="G201" t="inlineStr">
        <is>
          <t>TROLLHÄTTAN</t>
        </is>
      </c>
      <c r="I201" t="n">
        <v>1.3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10494-2022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44623</v>
      </c>
      <c r="E202" s="1" t="n">
        <v>46308</v>
      </c>
      <c r="F202" t="inlineStr">
        <is>
          <t>VÄSTRA GÖTALANDS LÄN</t>
        </is>
      </c>
      <c r="G202" t="inlineStr">
        <is>
          <t>TROLLHÄTTAN</t>
        </is>
      </c>
      <c r="I202" t="n">
        <v>13.3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46364-2024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45582</v>
      </c>
      <c r="E203" s="1" t="n">
        <v>46308</v>
      </c>
      <c r="F203" t="inlineStr">
        <is>
          <t>VÄSTRA GÖTALANDS LÄN</t>
        </is>
      </c>
      <c r="G203" t="inlineStr">
        <is>
          <t>TROLLHÄTTAN</t>
        </is>
      </c>
      <c r="I203" t="n">
        <v>1.4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33546-2022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44789</v>
      </c>
      <c r="E204" s="1" t="n">
        <v>46308</v>
      </c>
      <c r="F204" t="inlineStr">
        <is>
          <t>VÄSTRA GÖTALANDS LÄN</t>
        </is>
      </c>
      <c r="G204" t="inlineStr">
        <is>
          <t>TROLLHÄTTAN</t>
        </is>
      </c>
      <c r="I204" t="n">
        <v>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9821-2022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44620</v>
      </c>
      <c r="E205" s="1" t="n">
        <v>46308</v>
      </c>
      <c r="F205" t="inlineStr">
        <is>
          <t>VÄSTRA GÖTALANDS LÄN</t>
        </is>
      </c>
      <c r="G205" t="inlineStr">
        <is>
          <t>TROLLHÄTTAN</t>
        </is>
      </c>
      <c r="I205" t="n">
        <v>2.5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38941-2023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45163</v>
      </c>
      <c r="E206" s="1" t="n">
        <v>46308</v>
      </c>
      <c r="F206" t="inlineStr">
        <is>
          <t>VÄSTRA GÖTALANDS LÄN</t>
        </is>
      </c>
      <c r="G206" t="inlineStr">
        <is>
          <t>TROLLHÄTTAN</t>
        </is>
      </c>
      <c r="I206" t="n">
        <v>1.7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49781-2024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45597</v>
      </c>
      <c r="E207" s="1" t="n">
        <v>46308</v>
      </c>
      <c r="F207" t="inlineStr">
        <is>
          <t>VÄSTRA GÖTALANDS LÄN</t>
        </is>
      </c>
      <c r="G207" t="inlineStr">
        <is>
          <t>TROLLHÄTTAN</t>
        </is>
      </c>
      <c r="I207" t="n">
        <v>5.7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61046-2024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45645</v>
      </c>
      <c r="E208" s="1" t="n">
        <v>46308</v>
      </c>
      <c r="F208" t="inlineStr">
        <is>
          <t>VÄSTRA GÖTALANDS LÄN</t>
        </is>
      </c>
      <c r="G208" t="inlineStr">
        <is>
          <t>TROLLHÄTTAN</t>
        </is>
      </c>
      <c r="I208" t="n">
        <v>2.3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3795-2024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45321</v>
      </c>
      <c r="E209" s="1" t="n">
        <v>46308</v>
      </c>
      <c r="F209" t="inlineStr">
        <is>
          <t>VÄSTRA GÖTALANDS LÄN</t>
        </is>
      </c>
      <c r="G209" t="inlineStr">
        <is>
          <t>TROLLHÄTTAN</t>
        </is>
      </c>
      <c r="I209" t="n">
        <v>1.4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42456-2024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45565</v>
      </c>
      <c r="E210" s="1" t="n">
        <v>46308</v>
      </c>
      <c r="F210" t="inlineStr">
        <is>
          <t>VÄSTRA GÖTALANDS LÄN</t>
        </is>
      </c>
      <c r="G210" t="inlineStr">
        <is>
          <t>TROLLHÄTTAN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30796-2024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45497</v>
      </c>
      <c r="E211" s="1" t="n">
        <v>46308</v>
      </c>
      <c r="F211" t="inlineStr">
        <is>
          <t>VÄSTRA GÖTALANDS LÄN</t>
        </is>
      </c>
      <c r="G211" t="inlineStr">
        <is>
          <t>TROLLHÄTTAN</t>
        </is>
      </c>
      <c r="I211" t="n">
        <v>3.7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16152-2024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45406</v>
      </c>
      <c r="E212" s="1" t="n">
        <v>46308</v>
      </c>
      <c r="F212" t="inlineStr">
        <is>
          <t>VÄSTRA GÖTALANDS LÄN</t>
        </is>
      </c>
      <c r="G212" t="inlineStr">
        <is>
          <t>TROLLHÄTTAN</t>
        </is>
      </c>
      <c r="I212" t="n">
        <v>0.8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47755-2022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44854</v>
      </c>
      <c r="E213" s="1" t="n">
        <v>46308</v>
      </c>
      <c r="F213" t="inlineStr">
        <is>
          <t>VÄSTRA GÖTALANDS LÄN</t>
        </is>
      </c>
      <c r="G213" t="inlineStr">
        <is>
          <t>TROLLHÄTTAN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10768-2024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45369</v>
      </c>
      <c r="E214" s="1" t="n">
        <v>46308</v>
      </c>
      <c r="F214" t="inlineStr">
        <is>
          <t>VÄSTRA GÖTALANDS LÄN</t>
        </is>
      </c>
      <c r="G214" t="inlineStr">
        <is>
          <t>TROLLHÄTTAN</t>
        </is>
      </c>
      <c r="I214" t="n">
        <v>2.7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62299-2022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44923</v>
      </c>
      <c r="E215" s="1" t="n">
        <v>46308</v>
      </c>
      <c r="F215" t="inlineStr">
        <is>
          <t>VÄSTRA GÖTALANDS LÄN</t>
        </is>
      </c>
      <c r="G215" t="inlineStr">
        <is>
          <t>TROLLHÄTTAN</t>
        </is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>
      <c r="A216" t="inlineStr">
        <is>
          <t>S 643-2026</t>
        </is>
      </c>
      <c r="B216" t="inlineStr">
        <is>
          <t>samrådsanmälan</t>
        </is>
      </c>
      <c r="C216" t="inlineStr">
        <is>
          <t>Annan skogsbruksåtgärd</t>
        </is>
      </c>
      <c r="D216" s="1" t="n">
        <v>46090</v>
      </c>
      <c r="E216" s="1" t="n">
        <v>46308</v>
      </c>
      <c r="F216" t="inlineStr">
        <is>
          <t>VÄSTRA GÖTALANDS LÄN</t>
        </is>
      </c>
      <c r="G216" t="inlineStr">
        <is>
          <t>TROLLHÄTTAN</t>
        </is>
      </c>
      <c r="I216" t="n">
        <v>0.8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2026-10-13T02:03:36Z</dcterms:created>
  <dcterms:modified xmlns:dcterms="http://purl.org/dc/terms/" xmlns:xsi="http://www.w3.org/2001/XMLSchema-instance" xsi:type="dcterms:W3CDTF">2026-10-13T02:03:37Z</dcterms:modified>
</cp:coreProperties>
</file>